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0B2C4D06-6ABA-417A-937F-74412618EEA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Matrix" sheetId="1" r:id="rId1"/>
    <sheet name="Math" sheetId="2" r:id="rId2"/>
    <sheet name="Sematics_Back" sheetId="3" r:id="rId3"/>
    <sheet name="Sematics_Normal" sheetId="5" r:id="rId4"/>
    <sheet name="Sematics_RangeInHeaders" sheetId="6" r:id="rId5"/>
    <sheet name="ReRang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3" i="6" l="1"/>
  <c r="AA23" i="6"/>
  <c r="AC22" i="6"/>
  <c r="V22" i="6"/>
  <c r="AC21" i="6"/>
  <c r="V21" i="6"/>
  <c r="AC20" i="6"/>
  <c r="V20" i="6"/>
  <c r="AC19" i="6"/>
  <c r="V19" i="6"/>
  <c r="AC18" i="6"/>
  <c r="V18" i="6"/>
  <c r="AC17" i="6"/>
  <c r="V17" i="6"/>
  <c r="AC16" i="6"/>
  <c r="V16" i="6"/>
  <c r="V24" i="6" l="1"/>
  <c r="AC23" i="6"/>
  <c r="I219" i="3"/>
  <c r="H219" i="3"/>
  <c r="G219" i="3"/>
  <c r="F219" i="3"/>
  <c r="E219" i="3"/>
  <c r="J218" i="3"/>
  <c r="I218" i="3"/>
  <c r="H218" i="3"/>
  <c r="G218" i="3"/>
  <c r="F218" i="3"/>
  <c r="E218" i="3"/>
  <c r="J217" i="3"/>
  <c r="I217" i="3"/>
  <c r="H217" i="3"/>
  <c r="G217" i="3"/>
  <c r="F217" i="3"/>
  <c r="E217" i="3"/>
  <c r="J216" i="3"/>
  <c r="I216" i="3"/>
  <c r="H216" i="3"/>
  <c r="G216" i="3"/>
  <c r="F216" i="3"/>
  <c r="E216" i="3"/>
  <c r="J215" i="3"/>
  <c r="I215" i="3"/>
  <c r="H215" i="3"/>
  <c r="G215" i="3"/>
  <c r="F215" i="3"/>
  <c r="E215" i="3"/>
  <c r="M89" i="3" l="1"/>
  <c r="M90" i="3"/>
  <c r="M91" i="3"/>
  <c r="Q175" i="3"/>
  <c r="S175" i="3" s="1"/>
  <c r="Q176" i="3"/>
  <c r="S176" i="3" s="1"/>
  <c r="Q177" i="3"/>
  <c r="S177" i="3" s="1"/>
  <c r="Q178" i="3"/>
  <c r="S178" i="3"/>
  <c r="P179" i="3"/>
  <c r="V41" i="3"/>
  <c r="AC41" i="3"/>
  <c r="V42" i="3"/>
  <c r="AC42" i="3"/>
  <c r="V43" i="3"/>
  <c r="AC43" i="3"/>
  <c r="V44" i="3"/>
  <c r="AC44" i="3"/>
  <c r="V45" i="3"/>
  <c r="AC45" i="3"/>
  <c r="V46" i="3"/>
  <c r="AC46" i="3"/>
  <c r="V47" i="3"/>
  <c r="AC47" i="3"/>
  <c r="AA48" i="3"/>
  <c r="AB48" i="3"/>
  <c r="N65" i="3"/>
  <c r="U65" i="3"/>
  <c r="N66" i="3"/>
  <c r="U66" i="3"/>
  <c r="N67" i="3"/>
  <c r="U67" i="3"/>
  <c r="N68" i="3"/>
  <c r="U68" i="3"/>
  <c r="N69" i="3"/>
  <c r="U69" i="3"/>
  <c r="N70" i="3"/>
  <c r="U70" i="3"/>
  <c r="N71" i="3"/>
  <c r="U71" i="3"/>
  <c r="S72" i="3"/>
  <c r="T72" i="3"/>
  <c r="F81" i="3"/>
  <c r="G81" i="3"/>
  <c r="H81" i="3"/>
  <c r="I81" i="3"/>
  <c r="J81" i="3"/>
  <c r="K81" i="3"/>
  <c r="F82" i="3"/>
  <c r="G82" i="3"/>
  <c r="H82" i="3"/>
  <c r="I82" i="3"/>
  <c r="J82" i="3"/>
  <c r="K82" i="3"/>
  <c r="F83" i="3"/>
  <c r="G83" i="3"/>
  <c r="H83" i="3"/>
  <c r="I83" i="3"/>
  <c r="J83" i="3"/>
  <c r="K83" i="3"/>
  <c r="F84" i="3"/>
  <c r="G84" i="3"/>
  <c r="H84" i="3"/>
  <c r="I84" i="3"/>
  <c r="J84" i="3"/>
  <c r="K84" i="3"/>
  <c r="F85" i="3"/>
  <c r="G85" i="3"/>
  <c r="H85" i="3"/>
  <c r="I85" i="3"/>
  <c r="J85" i="3"/>
  <c r="C31" i="3"/>
  <c r="AC31" i="3"/>
  <c r="B5" i="2"/>
  <c r="N89" i="3" a="1"/>
  <c r="N73" i="3" l="1"/>
  <c r="V49" i="3"/>
  <c r="U72" i="3"/>
  <c r="AC48" i="3"/>
  <c r="Q179" i="3"/>
  <c r="N89" i="3"/>
  <c r="S17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<sst xmlns="http://schemas.openxmlformats.org/spreadsheetml/2006/main" count="633" uniqueCount="279">
  <si>
    <t>Input</t>
    <phoneticPr fontId="3" type="noConversion"/>
  </si>
  <si>
    <t>mxText</t>
    <phoneticPr fontId="3" type="noConversion"/>
  </si>
  <si>
    <t>r2</t>
    <phoneticPr fontId="3" type="noConversion"/>
  </si>
  <si>
    <t>c2</t>
    <phoneticPr fontId="3" type="noConversion"/>
  </si>
  <si>
    <t>C2A</t>
    <phoneticPr fontId="3" type="noConversion"/>
  </si>
  <si>
    <t>C2B</t>
    <phoneticPr fontId="3" type="noConversion"/>
  </si>
  <si>
    <t>mxTextA</t>
    <phoneticPr fontId="3" type="noConversion"/>
  </si>
  <si>
    <t>R2A</t>
    <phoneticPr fontId="3" type="noConversion"/>
  </si>
  <si>
    <t>R2B</t>
    <phoneticPr fontId="3" type="noConversion"/>
  </si>
  <si>
    <t>c3</t>
    <phoneticPr fontId="3" type="noConversion"/>
  </si>
  <si>
    <t>C3A</t>
    <phoneticPr fontId="3" type="noConversion"/>
  </si>
  <si>
    <t>C3B</t>
    <phoneticPr fontId="3" type="noConversion"/>
  </si>
  <si>
    <t>C3C</t>
    <phoneticPr fontId="3" type="noConversion"/>
  </si>
  <si>
    <t>r3</t>
    <phoneticPr fontId="3" type="noConversion"/>
  </si>
  <si>
    <t>R3A</t>
    <phoneticPr fontId="3" type="noConversion"/>
  </si>
  <si>
    <t>R3B</t>
    <phoneticPr fontId="3" type="noConversion"/>
  </si>
  <si>
    <t>R3C</t>
    <phoneticPr fontId="3" type="noConversion"/>
  </si>
  <si>
    <t>compose r3 and c2</t>
    <phoneticPr fontId="3" type="noConversion"/>
  </si>
  <si>
    <t>R3_C2A</t>
    <phoneticPr fontId="3" type="noConversion"/>
  </si>
  <si>
    <t>R3_C2C</t>
    <phoneticPr fontId="3" type="noConversion"/>
  </si>
  <si>
    <t>R3_C2D</t>
    <phoneticPr fontId="3" type="noConversion"/>
  </si>
  <si>
    <t>R3_C2B</t>
    <phoneticPr fontId="3" type="noConversion"/>
  </si>
  <si>
    <t>C2_R3A</t>
  </si>
  <si>
    <t>C2_R3D</t>
  </si>
  <si>
    <t>C2_R3B</t>
  </si>
  <si>
    <t>C2_R3C</t>
  </si>
  <si>
    <t>compose c2 and r3</t>
    <phoneticPr fontId="3" type="noConversion"/>
  </si>
  <si>
    <t>Cross_1A</t>
  </si>
  <si>
    <t>Cross_1E</t>
  </si>
  <si>
    <t>Cross_1C</t>
  </si>
  <si>
    <t>Cross_1D</t>
  </si>
  <si>
    <t>cross area 1</t>
    <phoneticPr fontId="3" type="noConversion"/>
  </si>
  <si>
    <t>cross area 2</t>
    <phoneticPr fontId="3" type="noConversion"/>
  </si>
  <si>
    <t>Cross_2A</t>
  </si>
  <si>
    <t>Cross_2B</t>
  </si>
  <si>
    <t>Cross_2E</t>
  </si>
  <si>
    <t>Cross_2C</t>
  </si>
  <si>
    <t>Cross_2D</t>
  </si>
  <si>
    <t>compose c2 and r2</t>
    <phoneticPr fontId="3" type="noConversion"/>
  </si>
  <si>
    <t>C2_R2A</t>
  </si>
  <si>
    <t>C2_R2B</t>
  </si>
  <si>
    <t>C2_R2C</t>
  </si>
  <si>
    <t>column many</t>
    <phoneticPr fontId="3" type="noConversion"/>
  </si>
  <si>
    <t>row many</t>
    <phoneticPr fontId="3" type="noConversion"/>
  </si>
  <si>
    <t>cm_skip_1</t>
    <phoneticPr fontId="3" type="noConversion"/>
  </si>
  <si>
    <t>cm_skip_3</t>
  </si>
  <si>
    <t>cm_skip_4</t>
  </si>
  <si>
    <t>column many with skip</t>
    <phoneticPr fontId="3" type="noConversion"/>
  </si>
  <si>
    <t>mxOR</t>
    <phoneticPr fontId="3" type="noConversion"/>
  </si>
  <si>
    <t>mxOR_A</t>
    <phoneticPr fontId="3" type="noConversion"/>
  </si>
  <si>
    <t>mxOR_B</t>
    <phoneticPr fontId="3" type="noConversion"/>
  </si>
  <si>
    <t>cm_n1</t>
    <phoneticPr fontId="3" type="noConversion"/>
  </si>
  <si>
    <t>cm_n2</t>
  </si>
  <si>
    <t>cm_n3</t>
  </si>
  <si>
    <t>cm_n4</t>
  </si>
  <si>
    <t>rm_n1</t>
    <phoneticPr fontId="3" type="noConversion"/>
  </si>
  <si>
    <t>rm_n2</t>
  </si>
  <si>
    <t>rm_n3</t>
  </si>
  <si>
    <t>rm_n4</t>
  </si>
  <si>
    <t>mx until</t>
    <phoneticPr fontId="3" type="noConversion"/>
  </si>
  <si>
    <t>mx_until1</t>
    <phoneticPr fontId="3" type="noConversion"/>
  </si>
  <si>
    <t>mx_until2</t>
    <phoneticPr fontId="3" type="noConversion"/>
  </si>
  <si>
    <t>mx_until3</t>
    <phoneticPr fontId="3" type="noConversion"/>
  </si>
  <si>
    <t>mx_until4</t>
    <phoneticPr fontId="3" type="noConversion"/>
  </si>
  <si>
    <t>mx sum</t>
    <phoneticPr fontId="3" type="noConversion"/>
  </si>
  <si>
    <t>Size</t>
    <phoneticPr fontId="3" type="noConversion"/>
  </si>
  <si>
    <t>mx grouping columns header</t>
    <phoneticPr fontId="3" type="noConversion"/>
  </si>
  <si>
    <t>mx grouping columns</t>
    <phoneticPr fontId="3" type="noConversion"/>
  </si>
  <si>
    <t>compose c2 and c2</t>
    <phoneticPr fontId="3" type="noConversion"/>
  </si>
  <si>
    <t>C2_C2A</t>
    <phoneticPr fontId="3" type="noConversion"/>
  </si>
  <si>
    <t>C2_C2B</t>
    <phoneticPr fontId="3" type="noConversion"/>
  </si>
  <si>
    <t>C2_C2C</t>
    <phoneticPr fontId="3" type="noConversion"/>
  </si>
  <si>
    <t>Cross_1B</t>
    <phoneticPr fontId="3" type="noConversion"/>
  </si>
  <si>
    <t>mxMergeStarter</t>
    <phoneticPr fontId="3" type="noConversion"/>
  </si>
  <si>
    <t>Merge1</t>
    <phoneticPr fontId="3" type="noConversion"/>
  </si>
  <si>
    <t>Merge2</t>
    <phoneticPr fontId="3" type="noConversion"/>
  </si>
  <si>
    <t>column many with skip backtrack</t>
    <phoneticPr fontId="3" type="noConversion"/>
  </si>
  <si>
    <t>cm_skip_backTrack1</t>
    <phoneticPr fontId="3" type="noConversion"/>
  </si>
  <si>
    <t>cm_skip_backTrack2</t>
    <phoneticPr fontId="3" type="noConversion"/>
  </si>
  <si>
    <t>mx twoRowHeaderPivotTable</t>
    <phoneticPr fontId="3" type="noConversion"/>
  </si>
  <si>
    <r>
      <t>Cust. REF</t>
    </r>
    <r>
      <rPr>
        <b/>
        <sz val="11"/>
        <rFont val="宋体"/>
        <family val="3"/>
        <charset val="134"/>
      </rPr>
      <t xml:space="preserve">
客人货号</t>
    </r>
  </si>
  <si>
    <r>
      <t>REF ORDER</t>
    </r>
    <r>
      <rPr>
        <b/>
        <sz val="11"/>
        <rFont val="宋体"/>
        <family val="3"/>
        <charset val="134"/>
      </rPr>
      <t xml:space="preserve">  客人型号</t>
    </r>
  </si>
  <si>
    <r>
      <t>Fact. S/N</t>
    </r>
    <r>
      <rPr>
        <b/>
        <sz val="11"/>
        <rFont val="宋体"/>
        <family val="3"/>
        <charset val="134"/>
      </rPr>
      <t xml:space="preserve">
公司货号</t>
    </r>
  </si>
  <si>
    <r>
      <t>Colour</t>
    </r>
    <r>
      <rPr>
        <b/>
        <sz val="11"/>
        <rFont val="宋体"/>
        <family val="3"/>
        <charset val="134"/>
      </rPr>
      <t>颜色</t>
    </r>
  </si>
  <si>
    <t>法文颜色</t>
  </si>
  <si>
    <r>
      <t>PICTURE</t>
    </r>
    <r>
      <rPr>
        <b/>
        <sz val="11"/>
        <rFont val="宋体"/>
        <family val="3"/>
        <charset val="134"/>
      </rPr>
      <t>图片</t>
    </r>
  </si>
  <si>
    <t xml:space="preserve">
鞋面材料和颜色</t>
  </si>
  <si>
    <r>
      <t>Descrt</t>
    </r>
    <r>
      <rPr>
        <b/>
        <sz val="11"/>
        <rFont val="宋体"/>
        <family val="3"/>
        <charset val="134"/>
      </rPr>
      <t xml:space="preserve">
货品描述</t>
    </r>
  </si>
  <si>
    <t>ASST</t>
  </si>
  <si>
    <r>
      <t xml:space="preserve">Pack
</t>
    </r>
    <r>
      <rPr>
        <b/>
        <sz val="11"/>
        <rFont val="宋体"/>
        <family val="3"/>
        <charset val="134"/>
      </rPr>
      <t>对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箱</t>
    </r>
  </si>
  <si>
    <r>
      <t>Cartons</t>
    </r>
    <r>
      <rPr>
        <b/>
        <sz val="11"/>
        <rFont val="宋体"/>
        <family val="3"/>
        <charset val="134"/>
      </rPr>
      <t xml:space="preserve">
箱数</t>
    </r>
  </si>
  <si>
    <r>
      <t xml:space="preserve">Details       </t>
    </r>
    <r>
      <rPr>
        <b/>
        <sz val="11"/>
        <rFont val="宋体"/>
        <family val="3"/>
        <charset val="134"/>
      </rPr>
      <t>箱号</t>
    </r>
  </si>
  <si>
    <t>内盒规格外径</t>
  </si>
  <si>
    <t>外箱规格</t>
  </si>
  <si>
    <t>交期</t>
  </si>
  <si>
    <t>毛重</t>
  </si>
  <si>
    <t>净重</t>
  </si>
  <si>
    <t>/</t>
  </si>
  <si>
    <t>MARINE</t>
  </si>
  <si>
    <t>蓝色布同确认样</t>
  </si>
  <si>
    <t>童鞋</t>
  </si>
  <si>
    <t>1-170</t>
  </si>
  <si>
    <t>25*12.5*10</t>
  </si>
  <si>
    <t>41.5*39*26.5</t>
  </si>
  <si>
    <t>1-98</t>
  </si>
  <si>
    <t>51.5*26.5*26.5</t>
  </si>
  <si>
    <t>1--6</t>
  </si>
  <si>
    <t>51.5*41.5*26.5</t>
  </si>
  <si>
    <t>合计：</t>
  </si>
  <si>
    <t xml:space="preserve"> </t>
  </si>
  <si>
    <t>ORDER NO.</t>
    <phoneticPr fontId="3" type="noConversion"/>
  </si>
  <si>
    <t>Pairs</t>
    <phoneticPr fontId="3" type="noConversion"/>
  </si>
  <si>
    <t>Volume</t>
    <phoneticPr fontId="3" type="noConversion"/>
  </si>
  <si>
    <t>Cross_1F</t>
    <phoneticPr fontId="3" type="noConversion"/>
  </si>
  <si>
    <t>Cross_1G</t>
    <phoneticPr fontId="3" type="noConversion"/>
  </si>
  <si>
    <t>Cross_1H</t>
    <phoneticPr fontId="3" type="noConversion"/>
  </si>
  <si>
    <t>Cross_1I</t>
    <phoneticPr fontId="3" type="noConversion"/>
  </si>
  <si>
    <t>cross area 3</t>
    <phoneticPr fontId="3" type="noConversion"/>
  </si>
  <si>
    <t>Cross_3A</t>
  </si>
  <si>
    <t>Cross_3B</t>
    <phoneticPr fontId="3" type="noConversion"/>
  </si>
  <si>
    <t>Cross_3C</t>
    <phoneticPr fontId="3" type="noConversion"/>
  </si>
  <si>
    <t>Cross_3D</t>
    <phoneticPr fontId="3" type="noConversion"/>
  </si>
  <si>
    <t>Cross_3E</t>
    <phoneticPr fontId="3" type="noConversion"/>
  </si>
  <si>
    <t>Cross_3F</t>
    <phoneticPr fontId="3" type="noConversion"/>
  </si>
  <si>
    <t>cm_skip_backTrack3</t>
    <phoneticPr fontId="3" type="noConversion"/>
  </si>
  <si>
    <t>混码</t>
    <phoneticPr fontId="3" type="noConversion"/>
  </si>
  <si>
    <t>单码</t>
    <phoneticPr fontId="3" type="noConversion"/>
  </si>
  <si>
    <t>cross area 4</t>
    <phoneticPr fontId="3" type="noConversion"/>
  </si>
  <si>
    <t>Cross_4A</t>
    <phoneticPr fontId="3" type="noConversion"/>
  </si>
  <si>
    <t>Cross_4B</t>
  </si>
  <si>
    <t>Cross_4C</t>
  </si>
  <si>
    <t>Cross_4D</t>
  </si>
  <si>
    <t>Cross_4F</t>
    <phoneticPr fontId="3" type="noConversion"/>
  </si>
  <si>
    <t>Cross_4G</t>
    <phoneticPr fontId="3" type="noConversion"/>
  </si>
  <si>
    <t>Cross_4H</t>
    <phoneticPr fontId="3" type="noConversion"/>
  </si>
  <si>
    <t>Cross_4J</t>
    <phoneticPr fontId="3" type="noConversion"/>
  </si>
  <si>
    <t>Cross_4I</t>
    <phoneticPr fontId="3" type="noConversion"/>
  </si>
  <si>
    <t>Cross_4K</t>
    <phoneticPr fontId="3" type="noConversion"/>
  </si>
  <si>
    <t>Cross_4E</t>
    <phoneticPr fontId="3" type="noConversion"/>
  </si>
  <si>
    <t>订单号</t>
  </si>
  <si>
    <t>ART.N</t>
  </si>
  <si>
    <t>时间</t>
  </si>
  <si>
    <t>EUR</t>
  </si>
  <si>
    <t>UK</t>
  </si>
  <si>
    <t>CM</t>
  </si>
  <si>
    <t>2021-832</t>
  </si>
  <si>
    <t>589-1309</t>
  </si>
  <si>
    <t>数量（个）</t>
  </si>
  <si>
    <t>589-6309</t>
  </si>
  <si>
    <t>2021-833</t>
  </si>
  <si>
    <t>509-6303</t>
  </si>
  <si>
    <t>2021-834</t>
  </si>
  <si>
    <t>509-0303</t>
  </si>
  <si>
    <t xml:space="preserve"> </t>
    <phoneticPr fontId="3" type="noConversion"/>
  </si>
  <si>
    <t>pipe 2 in direction</t>
    <phoneticPr fontId="3" type="noConversion"/>
  </si>
  <si>
    <t>Starter</t>
    <phoneticPr fontId="3" type="noConversion"/>
  </si>
  <si>
    <t>mx rightAnglePivotTable</t>
    <phoneticPr fontId="3" type="noConversion"/>
  </si>
  <si>
    <t>mx twoRowHeaderPivotTable2</t>
    <phoneticPr fontId="3" type="noConversion"/>
  </si>
  <si>
    <t>ORDER NO.2</t>
    <phoneticPr fontId="3" type="noConversion"/>
  </si>
  <si>
    <t>ROSADO</t>
  </si>
  <si>
    <t>1   2    3     3     2   1</t>
  </si>
  <si>
    <t>GRIS</t>
  </si>
  <si>
    <t>MOSTAZA</t>
  </si>
  <si>
    <t>1   2    3     3     2   1=36PRS/CTN</t>
  </si>
  <si>
    <t>工 厂 货 号
Pactory NO.</t>
  </si>
  <si>
    <t>客 户 货 号
Customer NO.</t>
  </si>
  <si>
    <t>图片
Picture</t>
  </si>
  <si>
    <t>颜  色
Color</t>
  </si>
  <si>
    <t>商  标
Logo</t>
  </si>
  <si>
    <t>配码
Size</t>
  </si>
  <si>
    <t>装数</t>
  </si>
  <si>
    <t>箱数
CTN</t>
  </si>
  <si>
    <t>双   数
Quantity</t>
  </si>
  <si>
    <t>单   价
Unit parice</t>
  </si>
  <si>
    <t>总   价
Amount</t>
  </si>
  <si>
    <t>备   注
Remark</t>
  </si>
  <si>
    <t>鞋 舌</t>
  </si>
  <si>
    <t>中 底</t>
  </si>
  <si>
    <t>B61</t>
  </si>
  <si>
    <t>黑色
BLACK</t>
  </si>
  <si>
    <t>无</t>
  </si>
  <si>
    <t>印码数</t>
  </si>
  <si>
    <t>白红WHITE/RED</t>
  </si>
  <si>
    <t>深蓝
NAVY</t>
  </si>
  <si>
    <t>大红
RED</t>
  </si>
  <si>
    <t>合计</t>
  </si>
  <si>
    <t>another twoHeaders pivot table</t>
    <phoneticPr fontId="3" type="noConversion"/>
  </si>
  <si>
    <t>Color</t>
    <phoneticPr fontId="3" type="noConversion"/>
  </si>
  <si>
    <t>Kot-1</t>
    <phoneticPr fontId="3" type="noConversion"/>
  </si>
  <si>
    <t>OneRowTable1_Art</t>
    <phoneticPr fontId="3" type="noConversion"/>
  </si>
  <si>
    <t xml:space="preserve">35  36   37    38    39  40  </t>
    <phoneticPr fontId="3" type="noConversion"/>
  </si>
  <si>
    <t>OneRowTable2_Art</t>
    <phoneticPr fontId="3" type="noConversion"/>
  </si>
  <si>
    <t>Carton</t>
    <phoneticPr fontId="3" type="noConversion"/>
  </si>
  <si>
    <t>Weight</t>
    <phoneticPr fontId="3" type="noConversion"/>
  </si>
  <si>
    <t>mx_util5</t>
    <phoneticPr fontId="3" type="noConversion"/>
  </si>
  <si>
    <t>OneRowTable3_Art</t>
    <phoneticPr fontId="3" type="noConversion"/>
  </si>
  <si>
    <t>OneRowTable4_Art</t>
    <phoneticPr fontId="3" type="noConversion"/>
  </si>
  <si>
    <t>鞋舌</t>
    <phoneticPr fontId="3" type="noConversion"/>
  </si>
  <si>
    <t>中底1</t>
    <phoneticPr fontId="3" type="noConversion"/>
  </si>
  <si>
    <t>中底2</t>
    <phoneticPr fontId="3" type="noConversion"/>
  </si>
  <si>
    <t>Table4NormalHeaders_OneRow</t>
    <phoneticPr fontId="3" type="noConversion"/>
  </si>
  <si>
    <t>one row Table1</t>
  </si>
  <si>
    <t>one row Table2</t>
  </si>
  <si>
    <t>one row Table3</t>
  </si>
  <si>
    <t>Table4Headers</t>
  </si>
  <si>
    <t>one row Table4</t>
  </si>
  <si>
    <t>Table4NH2</t>
    <phoneticPr fontId="3" type="noConversion"/>
  </si>
  <si>
    <t>Table4Headers_Art</t>
    <phoneticPr fontId="3" type="noConversion"/>
  </si>
  <si>
    <t>groupingColumnHeader1</t>
    <phoneticPr fontId="3" type="noConversion"/>
  </si>
  <si>
    <t>groupingColumnHeader2</t>
    <phoneticPr fontId="3" type="noConversion"/>
  </si>
  <si>
    <t>groupingColumnHeader3</t>
    <phoneticPr fontId="3" type="noConversion"/>
  </si>
  <si>
    <t>groupingColumnHeader4</t>
    <phoneticPr fontId="3" type="noConversion"/>
  </si>
  <si>
    <t>reRangeToEnd</t>
    <phoneticPr fontId="3" type="noConversion"/>
  </si>
  <si>
    <t>reRangeTo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</si>
  <si>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</si>
  <si>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</si>
  <si>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</si>
  <si>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reRange_RowBy_ColumnToEnd 2</t>
    <phoneticPr fontId="3" type="noConversion"/>
  </si>
  <si>
    <t>TopArea</t>
    <phoneticPr fontId="3" type="noConversion"/>
  </si>
  <si>
    <t>groupingColumnHeader5</t>
    <phoneticPr fontId="3" type="noConversion"/>
  </si>
  <si>
    <t>LeftArea</t>
    <phoneticPr fontId="3" type="noConversion"/>
  </si>
  <si>
    <t>Table4Headers2</t>
    <phoneticPr fontId="3" type="noConversion"/>
  </si>
  <si>
    <t>Table4Headers2_Art</t>
    <phoneticPr fontId="3" type="noConversion"/>
  </si>
  <si>
    <t>Table4NormalHeaders</t>
    <phoneticPr fontId="3" type="noConversion"/>
  </si>
  <si>
    <t>Meged</t>
    <phoneticPr fontId="3" type="noConversion"/>
  </si>
  <si>
    <t>C2</t>
    <phoneticPr fontId="3" type="noConversion"/>
  </si>
  <si>
    <t>C3</t>
    <phoneticPr fontId="3" type="noConversion"/>
  </si>
  <si>
    <t>D2</t>
    <phoneticPr fontId="3" type="noConversion"/>
  </si>
  <si>
    <t>D6:E6</t>
    <phoneticPr fontId="3" type="noConversion"/>
  </si>
  <si>
    <t>鞋 舌3</t>
    <phoneticPr fontId="3" type="noConversion"/>
  </si>
  <si>
    <t>size</t>
    <phoneticPr fontId="3" type="noConversion"/>
  </si>
  <si>
    <t>Red</t>
    <phoneticPr fontId="3" type="noConversion"/>
  </si>
  <si>
    <t>Blue</t>
    <phoneticPr fontId="3" type="noConversion"/>
  </si>
  <si>
    <t>White</t>
    <phoneticPr fontId="3" type="noConversion"/>
  </si>
  <si>
    <t>Black</t>
    <phoneticPr fontId="3" type="noConversion"/>
  </si>
  <si>
    <t>Navy</t>
    <phoneticPr fontId="3" type="noConversion"/>
  </si>
  <si>
    <t>日期</t>
  </si>
  <si>
    <t>尺码/数量（张）</t>
  </si>
  <si>
    <t>尺码</t>
  </si>
  <si>
    <t>08/21</t>
  </si>
  <si>
    <t>07/21</t>
  </si>
  <si>
    <t>Pivot Table1</t>
    <phoneticPr fontId="3" type="noConversion"/>
  </si>
  <si>
    <t>Pivot Table Headers1</t>
    <phoneticPr fontId="3" type="noConversion"/>
  </si>
  <si>
    <t>Normal Columns1</t>
    <phoneticPr fontId="3" type="noConversion"/>
  </si>
  <si>
    <t>Multiple Rows Headers1</t>
    <phoneticPr fontId="3" type="noConversion"/>
  </si>
  <si>
    <t>Normal Columns1 Test</t>
    <phoneticPr fontId="3" type="noConversion"/>
  </si>
  <si>
    <t>Multiple Rows Headers1 Test</t>
    <phoneticPr fontId="3" type="noConversion"/>
  </si>
  <si>
    <t>Pivot Table Headers1 Test</t>
    <phoneticPr fontId="3" type="noConversion"/>
  </si>
  <si>
    <t>Pivot Table1 Test</t>
    <phoneticPr fontId="3" type="noConversion"/>
  </si>
  <si>
    <t>SS</t>
    <phoneticPr fontId="3" type="noConversion"/>
  </si>
  <si>
    <t>mxMany1Op</t>
    <phoneticPr fontId="3" type="noConversion"/>
  </si>
  <si>
    <t>mxMany1Op_Starter</t>
    <phoneticPr fontId="3" type="noConversion"/>
  </si>
  <si>
    <t>cm_op_1</t>
    <phoneticPr fontId="3" type="noConversion"/>
  </si>
  <si>
    <t>cm_op_2</t>
    <phoneticPr fontId="3" type="noConversion"/>
  </si>
  <si>
    <t>cm_op_3</t>
    <phoneticPr fontId="3" type="noConversion"/>
  </si>
  <si>
    <t>cm_op_4</t>
    <phoneticPr fontId="3" type="noConversion"/>
  </si>
  <si>
    <t>Column2</t>
  </si>
  <si>
    <t>Column3</t>
  </si>
  <si>
    <t>Column4</t>
  </si>
  <si>
    <t>D</t>
    <phoneticPr fontId="3" type="noConversion"/>
  </si>
  <si>
    <t>ContentsTable</t>
    <phoneticPr fontId="3" type="noConversion"/>
  </si>
  <si>
    <t>OneColumnContentsTableHeader</t>
    <phoneticPr fontId="3" type="noConversion"/>
  </si>
  <si>
    <t>MultipleContentsTableHeader</t>
    <phoneticPr fontId="3" type="noConversion"/>
  </si>
  <si>
    <t>mxEOF</t>
    <phoneticPr fontId="3" type="noConversion"/>
  </si>
  <si>
    <t>mxEOF_STRAT</t>
    <phoneticPr fontId="3" type="noConversion"/>
  </si>
  <si>
    <t>mxEOF_END</t>
    <phoneticPr fontId="3" type="noConversion"/>
  </si>
  <si>
    <t>mxEOF_R2</t>
    <phoneticPr fontId="3" type="noConversion"/>
  </si>
  <si>
    <t>cm_skip_2</t>
    <phoneticPr fontId="3" type="noConversion"/>
  </si>
  <si>
    <t>mxEmptyRow</t>
    <phoneticPr fontId="3" type="noConversion"/>
  </si>
  <si>
    <t>mxEmptyRow_Starter</t>
    <phoneticPr fontId="3" type="noConversion"/>
  </si>
  <si>
    <t>mxEmptyRow_End</t>
    <phoneticPr fontId="3" type="noConversion"/>
  </si>
  <si>
    <t>mxUntil not including self</t>
  </si>
  <si>
    <t>MXUntil_No_Self_1A</t>
    <phoneticPr fontId="3" type="noConversion"/>
  </si>
  <si>
    <t>U_1A</t>
    <phoneticPr fontId="3" type="noConversion"/>
  </si>
  <si>
    <t>U_1B</t>
    <phoneticPr fontId="3" type="noConversion"/>
  </si>
  <si>
    <t>U_1C</t>
    <phoneticPr fontId="3" type="noConversion"/>
  </si>
  <si>
    <t>U_1D</t>
    <phoneticPr fontId="3" type="noConversion"/>
  </si>
  <si>
    <t>U_1E</t>
    <phoneticPr fontId="3" type="noConversion"/>
  </si>
  <si>
    <t>U_1F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</si>
</sst>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176" formatCode="&quot;￥&quot;#,##0.00;&quot;￥&quot;\-#,##0.00"/>
    <numFmt numFmtId="177" formatCode="&quot;￥&quot;#,##0.00;[Red]&quot;￥&quot;#,##0.00"/>
    <numFmt numFmtId="178" formatCode="#,##0.0"/>
  </numFmts>
  <fonts count="28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10"/>
      <name val="Arial"/>
      <family val="2"/>
    </font>
    <font>
      <sz val="12"/>
      <color theme="1"/>
      <name val="宋体"/>
      <family val="3"/>
      <charset val="134"/>
    </font>
    <font>
      <b/>
      <sz val="11"/>
      <color rgb="FF92D050"/>
      <name val="Arial"/>
      <family val="2"/>
      <charset val="134"/>
    </font>
    <font>
      <b/>
      <sz val="11"/>
      <color rgb="FF92D050"/>
      <name val="微软雅黑"/>
      <family val="2"/>
      <charset val="134"/>
    </font>
    <font>
      <b/>
      <sz val="11"/>
      <name val="宋体"/>
      <family val="3"/>
      <charset val="134"/>
    </font>
    <font>
      <b/>
      <sz val="11"/>
      <name val="Arial"/>
      <family val="2"/>
      <charset val="134"/>
    </font>
    <font>
      <b/>
      <sz val="11"/>
      <color rgb="FF00B0F0"/>
      <name val="Arial"/>
      <family val="2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Arial"/>
      <family val="2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name val="Calibri"/>
      <family val="2"/>
    </font>
    <font>
      <sz val="12"/>
      <color rgb="FFFF0000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5" borderId="6" applyBorder="0">
      <alignment horizontal="center" vertical="center" wrapText="1"/>
    </xf>
    <xf numFmtId="0" fontId="11" fillId="6" borderId="6" applyBorder="0">
      <alignment horizontal="center" vertical="center" wrapText="1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</cellStyleXfs>
  <cellXfs count="214">
    <xf numFmtId="0" fontId="0" fillId="0" borderId="0" xfId="0"/>
    <xf numFmtId="0" fontId="2" fillId="3" borderId="0" xfId="2" applyAlignment="1"/>
    <xf numFmtId="0" fontId="1" fillId="2" borderId="0" xfId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76" fontId="14" fillId="0" borderId="10" xfId="0" applyNumberFormat="1" applyFont="1" applyBorder="1" applyAlignment="1">
      <alignment horizontal="center" vertical="center" wrapText="1"/>
    </xf>
    <xf numFmtId="177" fontId="14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 wrapText="1"/>
    </xf>
    <xf numFmtId="14" fontId="14" fillId="0" borderId="10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7" fontId="5" fillId="0" borderId="9" xfId="0" applyNumberFormat="1" applyFont="1" applyBorder="1" applyAlignment="1">
      <alignment horizontal="center" vertical="center" wrapText="1"/>
    </xf>
    <xf numFmtId="177" fontId="4" fillId="0" borderId="9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 wrapText="1"/>
    </xf>
    <xf numFmtId="0" fontId="20" fillId="8" borderId="0" xfId="6" applyAlignment="1"/>
    <xf numFmtId="0" fontId="19" fillId="7" borderId="0" xfId="5" applyAlignment="1"/>
    <xf numFmtId="0" fontId="1" fillId="2" borderId="0" xfId="1" applyAlignment="1"/>
    <xf numFmtId="0" fontId="20" fillId="11" borderId="0" xfId="7" applyFill="1" applyAlignment="1"/>
    <xf numFmtId="0" fontId="20" fillId="12" borderId="0" xfId="8" applyFill="1" applyAlignment="1"/>
    <xf numFmtId="0" fontId="14" fillId="0" borderId="4" xfId="0" applyFont="1" applyBorder="1" applyAlignment="1">
      <alignment horizontal="center" vertical="center" wrapText="1"/>
    </xf>
    <xf numFmtId="177" fontId="4" fillId="0" borderId="9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2" fontId="0" fillId="6" borderId="4" xfId="0" applyNumberForma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0" fillId="0" borderId="0" xfId="0" applyFill="1"/>
    <xf numFmtId="0" fontId="14" fillId="0" borderId="4" xfId="0" applyFont="1" applyBorder="1" applyAlignment="1">
      <alignment vertical="center" wrapText="1"/>
    </xf>
    <xf numFmtId="0" fontId="14" fillId="0" borderId="4" xfId="0" applyFont="1" applyFill="1" applyBorder="1" applyAlignment="1">
      <alignment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176" fontId="14" fillId="0" borderId="10" xfId="0" applyNumberFormat="1" applyFont="1" applyFill="1" applyBorder="1" applyAlignment="1">
      <alignment horizontal="center" vertical="center" wrapText="1"/>
    </xf>
    <xf numFmtId="177" fontId="14" fillId="0" borderId="4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2" borderId="5" xfId="1" applyBorder="1" applyAlignment="1">
      <alignment vertical="center"/>
    </xf>
    <xf numFmtId="0" fontId="17" fillId="13" borderId="23" xfId="0" applyFont="1" applyFill="1" applyBorder="1" applyAlignment="1">
      <alignment horizontal="center" vertical="center"/>
    </xf>
    <xf numFmtId="0" fontId="0" fillId="14" borderId="26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7" fontId="0" fillId="14" borderId="4" xfId="0" applyNumberFormat="1" applyFill="1" applyBorder="1" applyAlignment="1">
      <alignment horizontal="center" vertical="center"/>
    </xf>
    <xf numFmtId="7" fontId="0" fillId="14" borderId="1" xfId="0" applyNumberFormat="1" applyFill="1" applyBorder="1" applyAlignment="1">
      <alignment horizontal="center" vertical="center"/>
    </xf>
    <xf numFmtId="0" fontId="23" fillId="14" borderId="30" xfId="0" applyFont="1" applyFill="1" applyBorder="1" applyAlignment="1">
      <alignment horizontal="center" vertical="center" wrapText="1"/>
    </xf>
    <xf numFmtId="0" fontId="23" fillId="14" borderId="31" xfId="0" applyFont="1" applyFill="1" applyBorder="1" applyAlignment="1">
      <alignment horizontal="center" vertical="center" wrapText="1"/>
    </xf>
    <xf numFmtId="0" fontId="23" fillId="14" borderId="32" xfId="0" applyFont="1" applyFill="1" applyBorder="1" applyAlignment="1">
      <alignment horizontal="center" vertical="center"/>
    </xf>
    <xf numFmtId="0" fontId="23" fillId="14" borderId="33" xfId="0" applyFont="1" applyFill="1" applyBorder="1" applyAlignment="1">
      <alignment horizontal="center" vertical="center"/>
    </xf>
    <xf numFmtId="0" fontId="23" fillId="14" borderId="34" xfId="0" applyFont="1" applyFill="1" applyBorder="1" applyAlignment="1">
      <alignment horizontal="center" vertical="center"/>
    </xf>
    <xf numFmtId="0" fontId="23" fillId="14" borderId="35" xfId="0" applyFont="1" applyFill="1" applyBorder="1" applyAlignment="1">
      <alignment horizontal="center" vertical="center"/>
    </xf>
    <xf numFmtId="0" fontId="23" fillId="14" borderId="27" xfId="0" applyFont="1" applyFill="1" applyBorder="1" applyAlignment="1">
      <alignment horizontal="center" vertical="center"/>
    </xf>
    <xf numFmtId="7" fontId="23" fillId="14" borderId="34" xfId="0" applyNumberFormat="1" applyFont="1" applyFill="1" applyBorder="1" applyAlignment="1">
      <alignment horizontal="center" vertical="center"/>
    </xf>
    <xf numFmtId="7" fontId="23" fillId="14" borderId="35" xfId="0" applyNumberFormat="1" applyFont="1" applyFill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0" fillId="0" borderId="0" xfId="0" applyAlignment="1"/>
    <xf numFmtId="0" fontId="1" fillId="14" borderId="0" xfId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9" xfId="0" applyFont="1" applyBorder="1" applyAlignment="1">
      <alignment horizontal="center" vertical="center"/>
    </xf>
    <xf numFmtId="0" fontId="0" fillId="12" borderId="0" xfId="0" applyFill="1"/>
    <xf numFmtId="0" fontId="24" fillId="12" borderId="0" xfId="0" applyFont="1" applyFill="1"/>
    <xf numFmtId="0" fontId="0" fillId="14" borderId="0" xfId="0" applyFill="1"/>
    <xf numFmtId="0" fontId="25" fillId="14" borderId="0" xfId="0" applyFont="1" applyFill="1"/>
    <xf numFmtId="0" fontId="26" fillId="0" borderId="0" xfId="0" applyFont="1"/>
    <xf numFmtId="178" fontId="0" fillId="6" borderId="4" xfId="0" applyNumberFormat="1" applyFill="1" applyBorder="1" applyAlignment="1">
      <alignment horizontal="center" vertical="center"/>
    </xf>
    <xf numFmtId="0" fontId="27" fillId="12" borderId="0" xfId="0" applyFont="1" applyFill="1"/>
    <xf numFmtId="0" fontId="26" fillId="14" borderId="0" xfId="0" applyFont="1" applyFill="1"/>
    <xf numFmtId="0" fontId="0" fillId="0" borderId="0" xfId="0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8" borderId="0" xfId="0" applyFill="1" applyBorder="1" applyAlignment="1">
      <alignment horizontal="center" vertical="center"/>
    </xf>
    <xf numFmtId="0" fontId="0" fillId="18" borderId="0" xfId="0" applyFill="1"/>
    <xf numFmtId="0" fontId="21" fillId="0" borderId="9" xfId="0" applyFont="1" applyBorder="1" applyAlignment="1">
      <alignment horizontal="center" vertical="center"/>
    </xf>
    <xf numFmtId="0" fontId="17" fillId="13" borderId="23" xfId="0" applyFont="1" applyFill="1" applyBorder="1" applyAlignment="1">
      <alignment vertical="center"/>
    </xf>
    <xf numFmtId="0" fontId="17" fillId="13" borderId="2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6" borderId="6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7" fillId="5" borderId="6" xfId="3" applyAlignment="1">
      <alignment vertical="center" wrapText="1"/>
    </xf>
    <xf numFmtId="0" fontId="7" fillId="5" borderId="9" xfId="3" applyBorder="1" applyAlignment="1">
      <alignment vertical="center" wrapText="1"/>
    </xf>
    <xf numFmtId="0" fontId="14" fillId="0" borderId="11" xfId="0" applyFont="1" applyFill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" fillId="0" borderId="0" xfId="1" applyFill="1" applyAlignment="1">
      <alignment horizontal="center" vertical="center"/>
    </xf>
    <xf numFmtId="0" fontId="1" fillId="22" borderId="0" xfId="1" applyFill="1" applyAlignment="1">
      <alignment horizontal="center" vertical="center"/>
    </xf>
    <xf numFmtId="0" fontId="20" fillId="23" borderId="0" xfId="6" applyFill="1" applyAlignment="1"/>
    <xf numFmtId="0" fontId="20" fillId="23" borderId="0" xfId="8" applyFill="1" applyAlignment="1"/>
    <xf numFmtId="0" fontId="20" fillId="12" borderId="0" xfId="6" applyFill="1" applyAlignment="1"/>
    <xf numFmtId="0" fontId="0" fillId="0" borderId="0" xfId="0" applyAlignment="1">
      <alignment horizontal="center"/>
    </xf>
    <xf numFmtId="0" fontId="1" fillId="2" borderId="0" xfId="1" applyAlignment="1">
      <alignment horizontal="center" vertical="center"/>
    </xf>
    <xf numFmtId="0" fontId="1" fillId="22" borderId="0" xfId="1" applyFill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5" borderId="6" xfId="3">
      <alignment horizontal="center" vertical="center" wrapText="1"/>
    </xf>
    <xf numFmtId="0" fontId="7" fillId="5" borderId="9" xfId="3" applyBorder="1">
      <alignment horizontal="center" vertical="center" wrapText="1"/>
    </xf>
    <xf numFmtId="0" fontId="0" fillId="0" borderId="7" xfId="0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6" borderId="6" xfId="4">
      <alignment horizontal="center" vertical="center" wrapText="1"/>
    </xf>
    <xf numFmtId="0" fontId="11" fillId="6" borderId="9" xfId="4" applyBorder="1">
      <alignment horizontal="center" vertical="center" wrapText="1"/>
    </xf>
    <xf numFmtId="177" fontId="12" fillId="0" borderId="6" xfId="0" applyNumberFormat="1" applyFont="1" applyBorder="1" applyAlignment="1">
      <alignment horizontal="center" vertical="center" wrapText="1"/>
    </xf>
    <xf numFmtId="177" fontId="12" fillId="0" borderId="9" xfId="0" applyNumberFormat="1" applyFont="1" applyBorder="1" applyAlignment="1">
      <alignment horizontal="center" vertical="center" wrapText="1"/>
    </xf>
    <xf numFmtId="177" fontId="9" fillId="0" borderId="6" xfId="0" applyNumberFormat="1" applyFont="1" applyBorder="1" applyAlignment="1">
      <alignment horizontal="center" vertical="center" wrapText="1"/>
    </xf>
    <xf numFmtId="177" fontId="9" fillId="0" borderId="9" xfId="0" applyNumberFormat="1" applyFont="1" applyBorder="1" applyAlignment="1">
      <alignment horizontal="center" vertical="center" wrapText="1"/>
    </xf>
    <xf numFmtId="0" fontId="8" fillId="5" borderId="6" xfId="3" applyFont="1" applyBorder="1">
      <alignment horizontal="center" vertical="center" wrapText="1"/>
    </xf>
    <xf numFmtId="0" fontId="8" fillId="5" borderId="9" xfId="3" applyFont="1" applyBorder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77" fontId="5" fillId="0" borderId="6" xfId="0" applyNumberFormat="1" applyFont="1" applyBorder="1" applyAlignment="1">
      <alignment horizontal="center" vertical="center" wrapText="1"/>
    </xf>
    <xf numFmtId="177" fontId="5" fillId="0" borderId="11" xfId="0" applyNumberFormat="1" applyFont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/>
    </xf>
    <xf numFmtId="14" fontId="13" fillId="0" borderId="11" xfId="0" applyNumberFormat="1" applyFont="1" applyBorder="1" applyAlignment="1">
      <alignment horizontal="center" vertical="center"/>
    </xf>
    <xf numFmtId="14" fontId="13" fillId="0" borderId="9" xfId="0" applyNumberFormat="1" applyFont="1" applyBorder="1" applyAlignment="1">
      <alignment horizontal="center" vertical="center"/>
    </xf>
    <xf numFmtId="177" fontId="14" fillId="0" borderId="6" xfId="0" applyNumberFormat="1" applyFont="1" applyBorder="1" applyAlignment="1">
      <alignment horizontal="center" vertical="center" wrapText="1"/>
    </xf>
    <xf numFmtId="177" fontId="14" fillId="0" borderId="11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3" fillId="14" borderId="28" xfId="0" applyFont="1" applyFill="1" applyBorder="1" applyAlignment="1">
      <alignment horizontal="center" vertical="center" wrapText="1"/>
    </xf>
    <xf numFmtId="0" fontId="23" fillId="14" borderId="29" xfId="0" applyFont="1" applyFill="1" applyBorder="1" applyAlignment="1">
      <alignment horizontal="center" vertical="center" wrapText="1"/>
    </xf>
    <xf numFmtId="7" fontId="23" fillId="14" borderId="30" xfId="0" applyNumberFormat="1" applyFont="1" applyFill="1" applyBorder="1" applyAlignment="1">
      <alignment horizontal="center" vertical="center"/>
    </xf>
    <xf numFmtId="7" fontId="23" fillId="14" borderId="31" xfId="0" applyNumberFormat="1" applyFont="1" applyFill="1" applyBorder="1" applyAlignment="1">
      <alignment horizontal="center" vertical="center"/>
    </xf>
    <xf numFmtId="0" fontId="17" fillId="13" borderId="14" xfId="0" applyFont="1" applyFill="1" applyBorder="1" applyAlignment="1">
      <alignment horizontal="center" vertical="center" wrapText="1"/>
    </xf>
    <xf numFmtId="0" fontId="17" fillId="13" borderId="20" xfId="0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 wrapText="1"/>
    </xf>
    <xf numFmtId="0" fontId="17" fillId="13" borderId="21" xfId="0" applyFont="1" applyFill="1" applyBorder="1" applyAlignment="1">
      <alignment horizontal="center" vertical="center"/>
    </xf>
    <xf numFmtId="0" fontId="17" fillId="13" borderId="16" xfId="0" applyFont="1" applyFill="1" applyBorder="1" applyAlignment="1">
      <alignment horizontal="center" vertical="center" wrapText="1"/>
    </xf>
    <xf numFmtId="0" fontId="17" fillId="13" borderId="22" xfId="0" applyFont="1" applyFill="1" applyBorder="1" applyAlignment="1">
      <alignment horizontal="center" vertical="center" wrapText="1"/>
    </xf>
    <xf numFmtId="0" fontId="17" fillId="13" borderId="17" xfId="0" applyFont="1" applyFill="1" applyBorder="1" applyAlignment="1">
      <alignment horizontal="center" vertical="center" wrapText="1"/>
    </xf>
    <xf numFmtId="0" fontId="17" fillId="13" borderId="23" xfId="0" applyFont="1" applyFill="1" applyBorder="1" applyAlignment="1">
      <alignment horizontal="center" vertical="center"/>
    </xf>
    <xf numFmtId="0" fontId="17" fillId="13" borderId="17" xfId="0" applyFont="1" applyFill="1" applyBorder="1" applyAlignment="1">
      <alignment vertical="center"/>
    </xf>
    <xf numFmtId="0" fontId="17" fillId="13" borderId="17" xfId="0" applyFont="1" applyFill="1" applyBorder="1" applyAlignment="1">
      <alignment horizontal="center" vertical="center"/>
    </xf>
    <xf numFmtId="0" fontId="17" fillId="13" borderId="23" xfId="0" applyFont="1" applyFill="1" applyBorder="1" applyAlignment="1">
      <alignment horizontal="center" vertical="center" wrapText="1"/>
    </xf>
    <xf numFmtId="0" fontId="17" fillId="13" borderId="18" xfId="0" applyFont="1" applyFill="1" applyBorder="1" applyAlignment="1">
      <alignment horizontal="center" vertical="center" wrapText="1"/>
    </xf>
    <xf numFmtId="0" fontId="17" fillId="13" borderId="19" xfId="0" applyFont="1" applyFill="1" applyBorder="1" applyAlignment="1">
      <alignment horizontal="center" vertical="center" wrapText="1"/>
    </xf>
    <xf numFmtId="0" fontId="17" fillId="13" borderId="24" xfId="0" applyFont="1" applyFill="1" applyBorder="1" applyAlignment="1">
      <alignment horizontal="center" vertical="center" wrapText="1"/>
    </xf>
    <xf numFmtId="0" fontId="17" fillId="13" borderId="2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21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7" fillId="5" borderId="8" xfId="3" applyBorder="1" applyAlignment="1">
      <alignment horizontal="center" vertical="center" wrapText="1"/>
    </xf>
    <xf numFmtId="0" fontId="7" fillId="5" borderId="13" xfId="3" applyBorder="1" applyAlignment="1">
      <alignment horizontal="center" vertical="center" wrapText="1"/>
    </xf>
    <xf numFmtId="0" fontId="7" fillId="5" borderId="10" xfId="3" applyBorder="1" applyAlignment="1">
      <alignment horizontal="center" vertical="center" wrapText="1"/>
    </xf>
    <xf numFmtId="0" fontId="7" fillId="5" borderId="40" xfId="3" applyBorder="1" applyAlignment="1">
      <alignment horizontal="center" vertical="center" wrapText="1"/>
    </xf>
    <xf numFmtId="0" fontId="17" fillId="13" borderId="38" xfId="0" applyFont="1" applyFill="1" applyBorder="1" applyAlignment="1">
      <alignment horizontal="center" vertical="center" wrapText="1"/>
    </xf>
    <xf numFmtId="0" fontId="17" fillId="13" borderId="39" xfId="0" applyFont="1" applyFill="1" applyBorder="1" applyAlignment="1">
      <alignment horizontal="center" vertical="center" wrapText="1"/>
    </xf>
    <xf numFmtId="0" fontId="17" fillId="13" borderId="36" xfId="0" applyFont="1" applyFill="1" applyBorder="1" applyAlignment="1">
      <alignment horizontal="center" vertical="center"/>
    </xf>
    <xf numFmtId="0" fontId="17" fillId="13" borderId="37" xfId="0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/>
    </xf>
    <xf numFmtId="0" fontId="17" fillId="13" borderId="36" xfId="0" applyFont="1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/>
    </xf>
  </cellXfs>
  <cellStyles count="9">
    <cellStyle name="20% - Accent1" xfId="6" builtinId="30"/>
    <cellStyle name="40% - Accent1" xfId="7" builtinId="31"/>
    <cellStyle name="60% - Accent1" xfId="8" builtinId="32"/>
    <cellStyle name="Accent1" xfId="5" builtinId="29"/>
    <cellStyle name="Border" xfId="3" xr:uid="{A8EA7BFC-615F-4690-820A-2F9D349AA9C9}"/>
    <cellStyle name="Good" xfId="1" builtinId="26"/>
    <cellStyle name="Neutral" xfId="2" builtinId="28"/>
    <cellStyle name="Normal" xfId="0" builtinId="0"/>
    <cellStyle name="Number" xfId="4" xr:uid="{2D041BF4-1455-4CE8-B095-13490AFABE14}"/>
  </cellStyles>
  <dxfs count="1"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44</xdr:row>
      <xdr:rowOff>266700</xdr:rowOff>
    </xdr:from>
    <xdr:to>
      <xdr:col>7</xdr:col>
      <xdr:colOff>960120</xdr:colOff>
      <xdr:row>45</xdr:row>
      <xdr:rowOff>373380</xdr:rowOff>
    </xdr:to>
    <xdr:pic>
      <xdr:nvPicPr>
        <xdr:cNvPr id="2" name="图片 23">
          <a:extLst>
            <a:ext uri="{FF2B5EF4-FFF2-40B4-BE49-F238E27FC236}">
              <a16:creationId xmlns:a16="http://schemas.microsoft.com/office/drawing/2014/main" id="{0F6BBB00-BD7D-477D-8C34-0C3772230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6660" y="3375660"/>
          <a:ext cx="51054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99060</xdr:colOff>
      <xdr:row>68</xdr:row>
      <xdr:rowOff>266700</xdr:rowOff>
    </xdr:from>
    <xdr:to>
      <xdr:col>7</xdr:col>
      <xdr:colOff>960120</xdr:colOff>
      <xdr:row>69</xdr:row>
      <xdr:rowOff>373380</xdr:rowOff>
    </xdr:to>
    <xdr:pic>
      <xdr:nvPicPr>
        <xdr:cNvPr id="5" name="图片 23">
          <a:extLst>
            <a:ext uri="{FF2B5EF4-FFF2-40B4-BE49-F238E27FC236}">
              <a16:creationId xmlns:a16="http://schemas.microsoft.com/office/drawing/2014/main" id="{141937F7-54EB-4BE9-A2A5-962C7930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5661660"/>
          <a:ext cx="51054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71838</xdr:colOff>
      <xdr:row>180</xdr:row>
      <xdr:rowOff>99060</xdr:rowOff>
    </xdr:from>
    <xdr:to>
      <xdr:col>15</xdr:col>
      <xdr:colOff>38100</xdr:colOff>
      <xdr:row>205</xdr:row>
      <xdr:rowOff>152400</xdr:rowOff>
    </xdr:to>
    <xdr:pic>
      <xdr:nvPicPr>
        <xdr:cNvPr id="4" name="图片 1" descr="e17434375892301d95ecde82032678a">
          <a:extLst>
            <a:ext uri="{FF2B5EF4-FFF2-40B4-BE49-F238E27FC236}">
              <a16:creationId xmlns:a16="http://schemas.microsoft.com/office/drawing/2014/main" id="{B5A68B2E-D4B4-49E8-A44E-BBB59E0DA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798" y="26189940"/>
          <a:ext cx="7311942" cy="443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19</xdr:row>
      <xdr:rowOff>266700</xdr:rowOff>
    </xdr:from>
    <xdr:to>
      <xdr:col>7</xdr:col>
      <xdr:colOff>960120</xdr:colOff>
      <xdr:row>20</xdr:row>
      <xdr:rowOff>373380</xdr:rowOff>
    </xdr:to>
    <xdr:pic>
      <xdr:nvPicPr>
        <xdr:cNvPr id="2" name="图片 23">
          <a:extLst>
            <a:ext uri="{FF2B5EF4-FFF2-40B4-BE49-F238E27FC236}">
              <a16:creationId xmlns:a16="http://schemas.microsoft.com/office/drawing/2014/main" id="{F33CB1B2-9A75-465C-AD4F-37FA8584D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60" y="5204460"/>
          <a:ext cx="51054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20B5E-AB10-460E-8E84-A3316A230B16}" name="Table1" displayName="Table1" ref="B22:E33" totalsRowShown="0">
  <autoFilter ref="B22:E33" xr:uid="{0F020B5E-AB10-460E-8E84-A3316A230B16}"/>
  <tableColumns count="4">
    <tableColumn id="1" xr3:uid="{914BC0A9-A83E-4F09-A4B0-42ED4A433594}" name="MultipleContentsTableHeader"/>
    <tableColumn id="2" xr3:uid="{5C34AD47-38CC-478C-95F2-4BD19DE6D543}" name="Column2"/>
    <tableColumn id="3" xr3:uid="{44D097E3-4E64-466B-AA25-CA6E7E0CFFA7}" name="Column3"/>
    <tableColumn id="4" xr3:uid="{5EEBD59D-1A0A-47EF-A37B-CC165B40FB6E}" name="Column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35E9F7-9932-487D-A5EA-0AAB04ED34E6}" name="Table13" displayName="Table13" ref="B36:B45" totalsRowShown="0" tableBorderDxfId="0">
  <autoFilter ref="B36:B45" xr:uid="{AC35E9F7-9932-487D-A5EA-0AAB04ED34E6}"/>
  <tableColumns count="1">
    <tableColumn id="1" xr3:uid="{E84AD391-C107-49BB-B1A6-E3BBE69CBD64}" name="OneColumnContentsTableHea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6"/>
  <sheetViews>
    <sheetView tabSelected="1" topLeftCell="A97" workbookViewId="0">
      <selection activeCell="D110" sqref="B107:D110"/>
    </sheetView>
  </sheetViews>
  <sheetFormatPr defaultRowHeight="14" x14ac:dyDescent="0.3"/>
  <cols>
    <col min="1" max="1" width="15" customWidth="1"/>
    <col min="2" max="3" width="12.75" customWidth="1"/>
    <col min="4" max="4" width="23.75" customWidth="1"/>
    <col min="5" max="5" width="12.75" customWidth="1"/>
    <col min="10" max="10" width="15.6640625" customWidth="1"/>
  </cols>
  <sheetData>
    <row r="1" spans="1:11" x14ac:dyDescent="0.3">
      <c r="A1" s="1" t="s">
        <v>1</v>
      </c>
    </row>
    <row r="2" spans="1:11" x14ac:dyDescent="0.3">
      <c r="A2" s="2" t="s">
        <v>0</v>
      </c>
      <c r="B2" t="s">
        <v>6</v>
      </c>
    </row>
    <row r="5" spans="1:11" x14ac:dyDescent="0.3">
      <c r="A5" s="1" t="s">
        <v>73</v>
      </c>
    </row>
    <row r="6" spans="1:11" x14ac:dyDescent="0.3">
      <c r="A6" s="2" t="s">
        <v>0</v>
      </c>
      <c r="C6" t="s">
        <v>155</v>
      </c>
      <c r="D6" s="117" t="s">
        <v>74</v>
      </c>
      <c r="E6" s="117"/>
      <c r="G6" s="117" t="s">
        <v>75</v>
      </c>
      <c r="H6" s="117"/>
    </row>
    <row r="8" spans="1:11" x14ac:dyDescent="0.3">
      <c r="A8" s="1" t="s">
        <v>263</v>
      </c>
    </row>
    <row r="9" spans="1:11" x14ac:dyDescent="0.3">
      <c r="A9" s="2" t="s">
        <v>0</v>
      </c>
      <c r="B9" t="s">
        <v>264</v>
      </c>
      <c r="J9" t="s">
        <v>266</v>
      </c>
      <c r="K9" t="s">
        <v>265</v>
      </c>
    </row>
    <row r="11" spans="1:11" x14ac:dyDescent="0.3">
      <c r="A11" s="1" t="s">
        <v>48</v>
      </c>
    </row>
    <row r="12" spans="1:11" x14ac:dyDescent="0.3">
      <c r="A12" s="2" t="s">
        <v>0</v>
      </c>
      <c r="B12" t="s">
        <v>49</v>
      </c>
      <c r="C12" t="s">
        <v>50</v>
      </c>
    </row>
    <row r="15" spans="1:11" x14ac:dyDescent="0.3">
      <c r="A15" s="1" t="s">
        <v>3</v>
      </c>
    </row>
    <row r="16" spans="1:11" x14ac:dyDescent="0.3">
      <c r="A16" s="2" t="s">
        <v>0</v>
      </c>
      <c r="B16" t="s">
        <v>4</v>
      </c>
      <c r="C16" t="s">
        <v>5</v>
      </c>
    </row>
    <row r="18" spans="1:4" x14ac:dyDescent="0.3">
      <c r="A18" s="1" t="s">
        <v>9</v>
      </c>
    </row>
    <row r="19" spans="1:4" x14ac:dyDescent="0.3">
      <c r="A19" s="2" t="s">
        <v>0</v>
      </c>
      <c r="B19" t="s">
        <v>10</v>
      </c>
      <c r="C19" t="s">
        <v>11</v>
      </c>
      <c r="D19" t="s">
        <v>12</v>
      </c>
    </row>
    <row r="21" spans="1:4" x14ac:dyDescent="0.3">
      <c r="A21" s="1" t="s">
        <v>2</v>
      </c>
    </row>
    <row r="22" spans="1:4" x14ac:dyDescent="0.3">
      <c r="A22" s="118" t="s">
        <v>0</v>
      </c>
      <c r="B22" t="s">
        <v>7</v>
      </c>
    </row>
    <row r="23" spans="1:4" x14ac:dyDescent="0.3">
      <c r="A23" s="118"/>
      <c r="B23" t="s">
        <v>8</v>
      </c>
    </row>
    <row r="26" spans="1:4" x14ac:dyDescent="0.3">
      <c r="A26" s="1" t="s">
        <v>13</v>
      </c>
    </row>
    <row r="27" spans="1:4" x14ac:dyDescent="0.3">
      <c r="A27" s="118" t="s">
        <v>0</v>
      </c>
      <c r="B27" t="s">
        <v>14</v>
      </c>
    </row>
    <row r="28" spans="1:4" x14ac:dyDescent="0.3">
      <c r="A28" s="118"/>
      <c r="B28" t="s">
        <v>15</v>
      </c>
    </row>
    <row r="29" spans="1:4" x14ac:dyDescent="0.3">
      <c r="A29" s="118"/>
      <c r="B29" t="s">
        <v>16</v>
      </c>
    </row>
    <row r="31" spans="1:4" x14ac:dyDescent="0.3">
      <c r="A31" s="1" t="s">
        <v>68</v>
      </c>
    </row>
    <row r="32" spans="1:4" x14ac:dyDescent="0.3">
      <c r="A32" s="118" t="s">
        <v>0</v>
      </c>
      <c r="B32" t="s">
        <v>69</v>
      </c>
      <c r="C32" t="s">
        <v>70</v>
      </c>
      <c r="D32" t="s">
        <v>71</v>
      </c>
    </row>
    <row r="33" spans="1:3" x14ac:dyDescent="0.3">
      <c r="A33" s="118"/>
    </row>
    <row r="34" spans="1:3" x14ac:dyDescent="0.3">
      <c r="A34" s="118"/>
    </row>
    <row r="36" spans="1:3" x14ac:dyDescent="0.3">
      <c r="A36" s="1" t="s">
        <v>38</v>
      </c>
    </row>
    <row r="37" spans="1:3" x14ac:dyDescent="0.3">
      <c r="A37" s="118" t="s">
        <v>0</v>
      </c>
      <c r="B37" t="s">
        <v>39</v>
      </c>
      <c r="C37" t="s">
        <v>40</v>
      </c>
    </row>
    <row r="38" spans="1:3" x14ac:dyDescent="0.3">
      <c r="A38" s="118"/>
      <c r="C38" t="s">
        <v>41</v>
      </c>
    </row>
    <row r="39" spans="1:3" x14ac:dyDescent="0.3">
      <c r="A39" s="118"/>
    </row>
    <row r="41" spans="1:3" x14ac:dyDescent="0.3">
      <c r="A41" s="1" t="s">
        <v>17</v>
      </c>
    </row>
    <row r="42" spans="1:3" x14ac:dyDescent="0.3">
      <c r="A42" s="118" t="s">
        <v>0</v>
      </c>
      <c r="B42" t="s">
        <v>18</v>
      </c>
      <c r="C42" t="s">
        <v>21</v>
      </c>
    </row>
    <row r="43" spans="1:3" x14ac:dyDescent="0.3">
      <c r="A43" s="118"/>
      <c r="B43" t="s">
        <v>19</v>
      </c>
    </row>
    <row r="44" spans="1:3" x14ac:dyDescent="0.3">
      <c r="A44" s="118"/>
      <c r="B44" t="s">
        <v>20</v>
      </c>
    </row>
    <row r="47" spans="1:3" x14ac:dyDescent="0.3">
      <c r="A47" s="1" t="s">
        <v>26</v>
      </c>
    </row>
    <row r="48" spans="1:3" x14ac:dyDescent="0.3">
      <c r="A48" s="118" t="s">
        <v>0</v>
      </c>
      <c r="B48" t="s">
        <v>22</v>
      </c>
      <c r="C48" t="s">
        <v>23</v>
      </c>
    </row>
    <row r="49" spans="1:5" x14ac:dyDescent="0.3">
      <c r="A49" s="118"/>
      <c r="B49" t="s">
        <v>24</v>
      </c>
    </row>
    <row r="50" spans="1:5" x14ac:dyDescent="0.3">
      <c r="A50" s="118"/>
      <c r="B50" t="s">
        <v>25</v>
      </c>
    </row>
    <row r="52" spans="1:5" x14ac:dyDescent="0.3">
      <c r="A52" s="1" t="s">
        <v>271</v>
      </c>
    </row>
    <row r="53" spans="1:5" x14ac:dyDescent="0.3">
      <c r="A53" s="118" t="s">
        <v>0</v>
      </c>
      <c r="B53" s="114" t="s">
        <v>272</v>
      </c>
      <c r="C53" s="114" t="s">
        <v>273</v>
      </c>
      <c r="E53" s="31"/>
    </row>
    <row r="54" spans="1:5" x14ac:dyDescent="0.3">
      <c r="A54" s="118"/>
      <c r="B54" s="115" t="s">
        <v>274</v>
      </c>
      <c r="C54" s="115" t="s">
        <v>275</v>
      </c>
      <c r="D54" s="31"/>
    </row>
    <row r="55" spans="1:5" x14ac:dyDescent="0.3">
      <c r="A55" s="118"/>
      <c r="B55" s="116" t="s">
        <v>272</v>
      </c>
      <c r="C55" s="116" t="s">
        <v>276</v>
      </c>
    </row>
    <row r="56" spans="1:5" x14ac:dyDescent="0.3">
      <c r="A56" s="118"/>
      <c r="B56" s="116" t="s">
        <v>277</v>
      </c>
      <c r="C56" s="116" t="s">
        <v>278</v>
      </c>
    </row>
    <row r="58" spans="1:5" x14ac:dyDescent="0.3">
      <c r="A58" s="1" t="s">
        <v>31</v>
      </c>
    </row>
    <row r="59" spans="1:5" x14ac:dyDescent="0.3">
      <c r="A59" s="118" t="s">
        <v>0</v>
      </c>
      <c r="B59" s="31" t="s">
        <v>27</v>
      </c>
      <c r="C59" s="31" t="s">
        <v>72</v>
      </c>
      <c r="D59" s="34" t="s">
        <v>28</v>
      </c>
    </row>
    <row r="60" spans="1:5" x14ac:dyDescent="0.3">
      <c r="A60" s="118"/>
      <c r="B60" s="35" t="s">
        <v>113</v>
      </c>
      <c r="C60" s="31" t="s">
        <v>29</v>
      </c>
      <c r="D60" s="31" t="s">
        <v>30</v>
      </c>
    </row>
    <row r="61" spans="1:5" x14ac:dyDescent="0.3">
      <c r="A61" s="118"/>
      <c r="B61" s="35" t="s">
        <v>114</v>
      </c>
      <c r="C61" s="35" t="s">
        <v>115</v>
      </c>
    </row>
    <row r="62" spans="1:5" x14ac:dyDescent="0.3">
      <c r="A62" s="118"/>
      <c r="B62" s="32" t="s">
        <v>116</v>
      </c>
    </row>
    <row r="64" spans="1:5" x14ac:dyDescent="0.3">
      <c r="A64" s="1" t="s">
        <v>32</v>
      </c>
    </row>
    <row r="65" spans="1:6" x14ac:dyDescent="0.3">
      <c r="A65" s="118" t="s">
        <v>0</v>
      </c>
      <c r="B65" t="s">
        <v>33</v>
      </c>
      <c r="C65" t="s">
        <v>34</v>
      </c>
    </row>
    <row r="66" spans="1:6" x14ac:dyDescent="0.3">
      <c r="A66" s="118"/>
      <c r="C66" t="s">
        <v>36</v>
      </c>
    </row>
    <row r="67" spans="1:6" x14ac:dyDescent="0.3">
      <c r="A67" s="118"/>
      <c r="C67" t="s">
        <v>37</v>
      </c>
      <c r="D67" t="s">
        <v>35</v>
      </c>
    </row>
    <row r="70" spans="1:6" x14ac:dyDescent="0.3">
      <c r="A70" s="1" t="s">
        <v>117</v>
      </c>
    </row>
    <row r="71" spans="1:6" x14ac:dyDescent="0.3">
      <c r="A71" s="2" t="s">
        <v>0</v>
      </c>
      <c r="B71" t="s">
        <v>118</v>
      </c>
    </row>
    <row r="72" spans="1:6" x14ac:dyDescent="0.3">
      <c r="A72" s="2"/>
      <c r="B72" t="s">
        <v>119</v>
      </c>
      <c r="C72" t="s">
        <v>120</v>
      </c>
      <c r="D72" t="s">
        <v>123</v>
      </c>
    </row>
    <row r="73" spans="1:6" x14ac:dyDescent="0.3">
      <c r="A73" s="2"/>
      <c r="C73" t="s">
        <v>121</v>
      </c>
      <c r="D73" t="s">
        <v>122</v>
      </c>
    </row>
    <row r="74" spans="1:6" x14ac:dyDescent="0.3">
      <c r="A74" s="33"/>
    </row>
    <row r="77" spans="1:6" x14ac:dyDescent="0.3">
      <c r="A77" s="1" t="s">
        <v>127</v>
      </c>
    </row>
    <row r="78" spans="1:6" x14ac:dyDescent="0.3">
      <c r="A78" s="2" t="s">
        <v>0</v>
      </c>
      <c r="B78" t="s">
        <v>128</v>
      </c>
      <c r="C78" t="s">
        <v>129</v>
      </c>
      <c r="D78" t="s">
        <v>132</v>
      </c>
      <c r="E78" t="s">
        <v>133</v>
      </c>
      <c r="F78" t="s">
        <v>134</v>
      </c>
    </row>
    <row r="79" spans="1:6" x14ac:dyDescent="0.3">
      <c r="A79" s="2"/>
      <c r="C79" t="s">
        <v>130</v>
      </c>
      <c r="D79" t="s">
        <v>136</v>
      </c>
      <c r="E79" t="s">
        <v>135</v>
      </c>
      <c r="F79" t="s">
        <v>137</v>
      </c>
    </row>
    <row r="80" spans="1:6" x14ac:dyDescent="0.3">
      <c r="A80" s="2"/>
      <c r="C80" t="s">
        <v>131</v>
      </c>
    </row>
    <row r="81" spans="1:5" x14ac:dyDescent="0.3">
      <c r="A81" s="33"/>
    </row>
    <row r="82" spans="1:5" x14ac:dyDescent="0.3">
      <c r="A82" s="33"/>
      <c r="C82" t="s">
        <v>138</v>
      </c>
    </row>
    <row r="85" spans="1:5" x14ac:dyDescent="0.3">
      <c r="A85" s="1" t="s">
        <v>42</v>
      </c>
    </row>
    <row r="86" spans="1:5" x14ac:dyDescent="0.3">
      <c r="A86" s="118" t="s">
        <v>0</v>
      </c>
      <c r="B86" t="s">
        <v>51</v>
      </c>
      <c r="C86" t="s">
        <v>52</v>
      </c>
      <c r="D86" t="s">
        <v>53</v>
      </c>
      <c r="E86" t="s">
        <v>54</v>
      </c>
    </row>
    <row r="87" spans="1:5" x14ac:dyDescent="0.3">
      <c r="A87" s="118"/>
    </row>
    <row r="88" spans="1:5" x14ac:dyDescent="0.3">
      <c r="A88" s="118"/>
    </row>
    <row r="92" spans="1:5" x14ac:dyDescent="0.3">
      <c r="A92" s="1" t="s">
        <v>43</v>
      </c>
    </row>
    <row r="93" spans="1:5" x14ac:dyDescent="0.3">
      <c r="A93" s="118" t="s">
        <v>0</v>
      </c>
      <c r="B93" t="s">
        <v>55</v>
      </c>
    </row>
    <row r="94" spans="1:5" x14ac:dyDescent="0.3">
      <c r="A94" s="118"/>
      <c r="B94" t="s">
        <v>56</v>
      </c>
    </row>
    <row r="95" spans="1:5" x14ac:dyDescent="0.3">
      <c r="A95" s="118"/>
      <c r="B95" t="s">
        <v>57</v>
      </c>
    </row>
    <row r="96" spans="1:5" x14ac:dyDescent="0.3">
      <c r="A96" s="118"/>
      <c r="B96" t="s">
        <v>58</v>
      </c>
    </row>
    <row r="100" spans="1:8" x14ac:dyDescent="0.3">
      <c r="A100" s="1" t="s">
        <v>47</v>
      </c>
    </row>
    <row r="101" spans="1:8" x14ac:dyDescent="0.3">
      <c r="A101" s="118" t="s">
        <v>0</v>
      </c>
      <c r="B101" t="s">
        <v>44</v>
      </c>
      <c r="D101" t="s">
        <v>267</v>
      </c>
      <c r="E101" t="s">
        <v>45</v>
      </c>
      <c r="H101" t="s">
        <v>46</v>
      </c>
    </row>
    <row r="102" spans="1:8" x14ac:dyDescent="0.3">
      <c r="A102" s="118"/>
    </row>
    <row r="103" spans="1:8" x14ac:dyDescent="0.3">
      <c r="A103" s="118"/>
    </row>
    <row r="106" spans="1:8" x14ac:dyDescent="0.3">
      <c r="A106" s="1" t="s">
        <v>268</v>
      </c>
    </row>
    <row r="107" spans="1:8" x14ac:dyDescent="0.3">
      <c r="A107" s="119" t="s">
        <v>0</v>
      </c>
    </row>
    <row r="108" spans="1:8" x14ac:dyDescent="0.3">
      <c r="A108" s="119"/>
    </row>
    <row r="109" spans="1:8" x14ac:dyDescent="0.3">
      <c r="A109" s="119"/>
    </row>
    <row r="110" spans="1:8" x14ac:dyDescent="0.3">
      <c r="A110" s="119"/>
    </row>
    <row r="111" spans="1:8" x14ac:dyDescent="0.3">
      <c r="A111" s="119"/>
    </row>
    <row r="112" spans="1:8" x14ac:dyDescent="0.3">
      <c r="A112" s="113"/>
    </row>
    <row r="113" spans="1:10" x14ac:dyDescent="0.3">
      <c r="A113" s="113"/>
    </row>
    <row r="114" spans="1:10" x14ac:dyDescent="0.3">
      <c r="A114" s="113"/>
      <c r="B114" t="s">
        <v>269</v>
      </c>
      <c r="D114" t="s">
        <v>270</v>
      </c>
    </row>
    <row r="115" spans="1:10" x14ac:dyDescent="0.3">
      <c r="A115" s="113"/>
      <c r="B115">
        <v>1</v>
      </c>
    </row>
    <row r="116" spans="1:10" x14ac:dyDescent="0.3">
      <c r="A116" s="113"/>
      <c r="B116">
        <v>2</v>
      </c>
    </row>
    <row r="117" spans="1:10" x14ac:dyDescent="0.3">
      <c r="A117" s="113"/>
      <c r="D117">
        <v>3</v>
      </c>
    </row>
    <row r="118" spans="1:10" x14ac:dyDescent="0.3">
      <c r="A118" s="113"/>
    </row>
    <row r="119" spans="1:10" x14ac:dyDescent="0.3">
      <c r="A119" s="112"/>
    </row>
    <row r="120" spans="1:10" x14ac:dyDescent="0.3">
      <c r="A120" s="112"/>
    </row>
    <row r="121" spans="1:10" x14ac:dyDescent="0.3">
      <c r="A121" s="112"/>
    </row>
    <row r="122" spans="1:10" x14ac:dyDescent="0.3">
      <c r="A122" s="112"/>
    </row>
    <row r="123" spans="1:10" x14ac:dyDescent="0.3">
      <c r="A123" s="1" t="s">
        <v>250</v>
      </c>
    </row>
    <row r="124" spans="1:10" x14ac:dyDescent="0.3">
      <c r="A124" s="118" t="s">
        <v>0</v>
      </c>
      <c r="B124" t="s">
        <v>251</v>
      </c>
      <c r="D124" t="s">
        <v>252</v>
      </c>
      <c r="E124" t="s">
        <v>253</v>
      </c>
      <c r="G124" t="s">
        <v>254</v>
      </c>
      <c r="J124" t="s">
        <v>255</v>
      </c>
    </row>
    <row r="125" spans="1:10" x14ac:dyDescent="0.3">
      <c r="A125" s="118"/>
    </row>
    <row r="126" spans="1:10" x14ac:dyDescent="0.3">
      <c r="A126" s="118"/>
    </row>
    <row r="129" spans="1:9" x14ac:dyDescent="0.3">
      <c r="A129" s="1" t="s">
        <v>76</v>
      </c>
    </row>
    <row r="130" spans="1:9" x14ac:dyDescent="0.3">
      <c r="A130" s="118" t="s">
        <v>0</v>
      </c>
      <c r="B130" t="s">
        <v>77</v>
      </c>
      <c r="C130" t="s">
        <v>78</v>
      </c>
      <c r="D130" t="s">
        <v>124</v>
      </c>
    </row>
    <row r="131" spans="1:9" x14ac:dyDescent="0.3">
      <c r="A131" s="118"/>
    </row>
    <row r="132" spans="1:9" x14ac:dyDescent="0.3">
      <c r="A132" s="118"/>
    </row>
    <row r="137" spans="1:9" x14ac:dyDescent="0.3">
      <c r="A137" s="1" t="s">
        <v>59</v>
      </c>
    </row>
    <row r="138" spans="1:9" x14ac:dyDescent="0.3">
      <c r="A138" s="118" t="s">
        <v>0</v>
      </c>
      <c r="B138" t="s">
        <v>60</v>
      </c>
      <c r="D138" t="s">
        <v>61</v>
      </c>
      <c r="E138" t="s">
        <v>62</v>
      </c>
      <c r="H138" t="s">
        <v>63</v>
      </c>
      <c r="I138" t="s">
        <v>194</v>
      </c>
    </row>
    <row r="139" spans="1:9" x14ac:dyDescent="0.3">
      <c r="A139" s="118"/>
    </row>
    <row r="140" spans="1:9" x14ac:dyDescent="0.3">
      <c r="A140" s="118"/>
    </row>
    <row r="143" spans="1:9" x14ac:dyDescent="0.3">
      <c r="A143" s="1" t="s">
        <v>154</v>
      </c>
    </row>
    <row r="144" spans="1:9" x14ac:dyDescent="0.3">
      <c r="A144" s="118" t="s">
        <v>0</v>
      </c>
      <c r="B144" t="s">
        <v>60</v>
      </c>
      <c r="D144" t="s">
        <v>61</v>
      </c>
      <c r="E144" t="s">
        <v>62</v>
      </c>
      <c r="H144" t="s">
        <v>63</v>
      </c>
      <c r="I144" t="s">
        <v>194</v>
      </c>
    </row>
    <row r="145" spans="1:1" x14ac:dyDescent="0.3">
      <c r="A145" s="118"/>
    </row>
    <row r="146" spans="1:1" x14ac:dyDescent="0.3">
      <c r="A146" s="118"/>
    </row>
  </sheetData>
  <mergeCells count="19">
    <mergeCell ref="A130:A132"/>
    <mergeCell ref="A144:A146"/>
    <mergeCell ref="A53:A56"/>
    <mergeCell ref="D6:E6"/>
    <mergeCell ref="G6:H6"/>
    <mergeCell ref="A124:A126"/>
    <mergeCell ref="A138:A140"/>
    <mergeCell ref="A22:A23"/>
    <mergeCell ref="A27:A29"/>
    <mergeCell ref="A42:A44"/>
    <mergeCell ref="A48:A50"/>
    <mergeCell ref="A86:A88"/>
    <mergeCell ref="A93:A96"/>
    <mergeCell ref="A101:A103"/>
    <mergeCell ref="A65:A67"/>
    <mergeCell ref="A37:A39"/>
    <mergeCell ref="A32:A34"/>
    <mergeCell ref="A107:A111"/>
    <mergeCell ref="A59:A62"/>
  </mergeCells>
  <phoneticPr fontId="3" type="noConversion"/>
  <pageMargins left="0.7" right="0.7" top="0.75" bottom="0.75" header="0.3" footer="0.3"/>
  <pageSetup paperSize="136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277E-1E9C-4949-8C4C-5EFD188DCF86}">
  <sheetPr codeName="Sheet2"/>
  <dimension ref="A1:B5"/>
  <sheetViews>
    <sheetView workbookViewId="0">
      <selection activeCell="B5" sqref="B5"/>
    </sheetView>
  </sheetViews>
  <sheetFormatPr defaultRowHeight="14" x14ac:dyDescent="0.3"/>
  <sheetData>
    <row r="1" spans="1:2" x14ac:dyDescent="0.3">
      <c r="A1" s="1" t="s">
        <v>64</v>
      </c>
    </row>
    <row r="2" spans="1:2" x14ac:dyDescent="0.3">
      <c r="A2" s="118" t="s">
        <v>0</v>
      </c>
      <c r="B2">
        <v>1</v>
      </c>
    </row>
    <row r="3" spans="1:2" x14ac:dyDescent="0.3">
      <c r="A3" s="118"/>
      <c r="B3">
        <v>2</v>
      </c>
    </row>
    <row r="4" spans="1:2" x14ac:dyDescent="0.3">
      <c r="A4" s="118"/>
    </row>
    <row r="5" spans="1:2" x14ac:dyDescent="0.3">
      <c r="A5" s="118"/>
      <c r="B5">
        <f>SUM(B2:B3)</f>
        <v>3</v>
      </c>
    </row>
  </sheetData>
  <mergeCells count="1">
    <mergeCell ref="A2:A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0B11-AE46-4148-92BB-2515463F524D}">
  <sheetPr codeName="Sheet3"/>
  <dimension ref="A1:AC230"/>
  <sheetViews>
    <sheetView topLeftCell="A181" zoomScaleNormal="100" workbookViewId="0">
      <selection activeCell="C177" sqref="C177"/>
    </sheetView>
  </sheetViews>
  <sheetFormatPr defaultRowHeight="14" x14ac:dyDescent="0.3"/>
  <cols>
    <col min="1" max="1" width="32.9140625" customWidth="1"/>
    <col min="2" max="2" width="24" customWidth="1"/>
    <col min="3" max="3" width="18.6640625" customWidth="1"/>
    <col min="4" max="4" width="9.33203125" bestFit="1" customWidth="1"/>
    <col min="5" max="5" width="8.9140625" customWidth="1"/>
  </cols>
  <sheetData>
    <row r="1" spans="1:10" x14ac:dyDescent="0.3">
      <c r="A1" s="1" t="s">
        <v>66</v>
      </c>
    </row>
    <row r="2" spans="1:10" x14ac:dyDescent="0.3">
      <c r="A2" s="120" t="s">
        <v>0</v>
      </c>
      <c r="B2" s="121" t="s">
        <v>65</v>
      </c>
      <c r="C2" s="122"/>
      <c r="D2" s="122"/>
      <c r="E2" s="122"/>
      <c r="F2" s="122"/>
      <c r="G2" s="122"/>
      <c r="H2" s="122"/>
      <c r="I2" s="123"/>
      <c r="J2" s="131"/>
    </row>
    <row r="3" spans="1:10" x14ac:dyDescent="0.3">
      <c r="A3" s="120"/>
      <c r="B3" s="3">
        <v>28</v>
      </c>
      <c r="C3" s="3">
        <v>29</v>
      </c>
      <c r="D3" s="3">
        <v>30</v>
      </c>
      <c r="E3" s="3">
        <v>31</v>
      </c>
      <c r="F3" s="3">
        <v>32</v>
      </c>
      <c r="G3" s="3">
        <v>33</v>
      </c>
      <c r="H3" s="3">
        <v>34</v>
      </c>
      <c r="I3" s="3">
        <v>35</v>
      </c>
      <c r="J3" s="131"/>
    </row>
    <row r="7" spans="1:10" x14ac:dyDescent="0.3">
      <c r="A7" s="1" t="s">
        <v>67</v>
      </c>
    </row>
    <row r="8" spans="1:10" x14ac:dyDescent="0.3">
      <c r="A8" s="120" t="s">
        <v>0</v>
      </c>
      <c r="B8" s="121" t="s">
        <v>65</v>
      </c>
      <c r="C8" s="122"/>
      <c r="D8" s="122"/>
      <c r="E8" s="122"/>
      <c r="F8" s="122"/>
      <c r="G8" s="122"/>
      <c r="H8" s="122"/>
      <c r="I8" s="123"/>
    </row>
    <row r="9" spans="1:10" x14ac:dyDescent="0.3">
      <c r="A9" s="120"/>
      <c r="B9" s="3">
        <v>28</v>
      </c>
      <c r="C9" s="3">
        <v>29</v>
      </c>
      <c r="D9" s="3">
        <v>30</v>
      </c>
      <c r="E9" s="3">
        <v>31</v>
      </c>
      <c r="F9" s="3">
        <v>32</v>
      </c>
      <c r="G9" s="3">
        <v>33</v>
      </c>
      <c r="H9" s="3">
        <v>34</v>
      </c>
      <c r="I9" s="3">
        <v>35</v>
      </c>
    </row>
    <row r="10" spans="1:10" ht="15" x14ac:dyDescent="0.3">
      <c r="A10" s="120"/>
      <c r="B10" s="4">
        <v>1</v>
      </c>
      <c r="C10" s="5">
        <v>2</v>
      </c>
      <c r="D10" s="5">
        <v>2</v>
      </c>
      <c r="E10" s="5">
        <v>2</v>
      </c>
      <c r="F10" s="5">
        <v>2</v>
      </c>
      <c r="G10" s="5">
        <v>2</v>
      </c>
      <c r="H10" s="5">
        <v>1</v>
      </c>
      <c r="I10" s="5">
        <v>1</v>
      </c>
    </row>
    <row r="11" spans="1:10" ht="15" x14ac:dyDescent="0.3">
      <c r="A11" s="120"/>
      <c r="B11" s="4">
        <v>1</v>
      </c>
      <c r="C11" s="5">
        <v>1</v>
      </c>
      <c r="D11" s="5">
        <v>1</v>
      </c>
      <c r="E11" s="5">
        <v>2</v>
      </c>
      <c r="F11" s="5">
        <v>2</v>
      </c>
      <c r="G11" s="5">
        <v>1</v>
      </c>
      <c r="H11" s="5">
        <v>1</v>
      </c>
      <c r="I11" s="5">
        <v>1</v>
      </c>
    </row>
    <row r="12" spans="1:10" ht="15" x14ac:dyDescent="0.3">
      <c r="A12" s="120"/>
      <c r="B12" s="4"/>
      <c r="C12" s="5"/>
      <c r="D12" s="4">
        <v>1</v>
      </c>
      <c r="E12" s="5"/>
      <c r="F12" s="4"/>
      <c r="G12" s="5"/>
      <c r="H12" s="4"/>
      <c r="I12" s="5"/>
    </row>
    <row r="13" spans="1:10" ht="15" x14ac:dyDescent="0.3">
      <c r="A13" s="120"/>
      <c r="B13" s="4"/>
      <c r="C13" s="5"/>
      <c r="D13" s="4"/>
      <c r="E13" s="5">
        <v>1</v>
      </c>
      <c r="F13" s="4"/>
      <c r="G13" s="5"/>
      <c r="H13" s="4"/>
      <c r="I13" s="5"/>
    </row>
    <row r="14" spans="1:10" ht="15" x14ac:dyDescent="0.3">
      <c r="A14" s="120"/>
      <c r="B14" s="4"/>
      <c r="C14" s="5"/>
      <c r="D14" s="5"/>
      <c r="E14" s="5"/>
      <c r="F14" s="5">
        <v>1</v>
      </c>
      <c r="G14" s="5"/>
      <c r="H14" s="6"/>
      <c r="I14" s="6"/>
    </row>
    <row r="15" spans="1:10" ht="15" x14ac:dyDescent="0.3">
      <c r="A15" s="120"/>
      <c r="B15" s="4"/>
      <c r="C15" s="5"/>
      <c r="D15" s="5"/>
      <c r="E15" s="5"/>
      <c r="F15" s="5"/>
      <c r="G15" s="5">
        <v>1</v>
      </c>
      <c r="H15" s="6"/>
      <c r="I15" s="6"/>
    </row>
    <row r="16" spans="1:10" ht="15" x14ac:dyDescent="0.3">
      <c r="A16" s="120"/>
      <c r="B16" s="4"/>
      <c r="C16" s="5"/>
      <c r="D16" s="5"/>
      <c r="E16" s="5"/>
      <c r="F16" s="5"/>
      <c r="G16" s="5"/>
      <c r="H16" s="6">
        <v>1</v>
      </c>
      <c r="I16" s="6"/>
    </row>
    <row r="20" spans="1:29" x14ac:dyDescent="0.3">
      <c r="A20" s="1"/>
    </row>
    <row r="22" spans="1:29" x14ac:dyDescent="0.3">
      <c r="A22" s="120" t="s">
        <v>0</v>
      </c>
      <c r="B22" s="129" t="s">
        <v>110</v>
      </c>
      <c r="C22" s="140" t="s">
        <v>111</v>
      </c>
      <c r="D22" s="146" t="s">
        <v>112</v>
      </c>
      <c r="E22" s="56"/>
      <c r="F22" s="57"/>
      <c r="G22" s="57"/>
      <c r="H22" s="57"/>
      <c r="I22" s="57"/>
      <c r="J22" s="57"/>
      <c r="K22" s="57"/>
      <c r="L22" s="58"/>
    </row>
    <row r="23" spans="1:29" x14ac:dyDescent="0.3">
      <c r="A23" s="120"/>
      <c r="B23" s="130"/>
      <c r="C23" s="141"/>
      <c r="D23" s="147"/>
      <c r="E23" s="3">
        <v>28</v>
      </c>
      <c r="F23" s="3">
        <v>29</v>
      </c>
      <c r="G23" s="3">
        <v>30</v>
      </c>
      <c r="H23" s="3">
        <v>31</v>
      </c>
      <c r="I23" s="3">
        <v>32</v>
      </c>
      <c r="J23" s="3">
        <v>33</v>
      </c>
      <c r="K23" s="3">
        <v>34</v>
      </c>
      <c r="L23" s="3">
        <v>35</v>
      </c>
    </row>
    <row r="24" spans="1:29" ht="15" x14ac:dyDescent="0.3">
      <c r="A24" s="120"/>
      <c r="C24" s="36">
        <v>2040</v>
      </c>
      <c r="D24" s="13">
        <v>1</v>
      </c>
      <c r="E24" s="4">
        <v>1</v>
      </c>
      <c r="F24" s="5">
        <v>1</v>
      </c>
      <c r="G24" s="5">
        <v>2</v>
      </c>
      <c r="H24" s="5">
        <v>2</v>
      </c>
      <c r="I24" s="5">
        <v>2</v>
      </c>
      <c r="J24" s="5">
        <v>2</v>
      </c>
      <c r="K24" s="5">
        <v>1</v>
      </c>
      <c r="L24" s="5">
        <v>1</v>
      </c>
    </row>
    <row r="25" spans="1:29" ht="15" x14ac:dyDescent="0.3">
      <c r="A25" s="120"/>
      <c r="B25" s="47"/>
      <c r="C25" s="48">
        <v>980</v>
      </c>
      <c r="D25" s="13">
        <v>1</v>
      </c>
      <c r="E25" s="49">
        <v>1</v>
      </c>
      <c r="F25" s="50">
        <v>1</v>
      </c>
      <c r="G25" s="50">
        <v>1</v>
      </c>
      <c r="H25" s="50">
        <v>2</v>
      </c>
      <c r="I25" s="50">
        <v>2</v>
      </c>
      <c r="J25" s="50">
        <v>1</v>
      </c>
      <c r="K25" s="50">
        <v>1</v>
      </c>
      <c r="L25" s="50">
        <v>1</v>
      </c>
    </row>
    <row r="26" spans="1:29" ht="15" x14ac:dyDescent="0.3">
      <c r="A26" s="120"/>
      <c r="B26" s="46"/>
      <c r="C26" s="36">
        <v>96</v>
      </c>
      <c r="D26" s="13">
        <v>1</v>
      </c>
      <c r="E26" s="4"/>
      <c r="F26" s="5"/>
      <c r="G26" s="4">
        <v>1</v>
      </c>
      <c r="H26" s="5"/>
      <c r="I26" s="4"/>
      <c r="J26" s="5"/>
      <c r="K26" s="4"/>
      <c r="L26" s="5"/>
    </row>
    <row r="27" spans="1:29" ht="15" x14ac:dyDescent="0.3">
      <c r="A27" s="120"/>
      <c r="B27" s="46">
        <v>16501</v>
      </c>
      <c r="C27" s="36">
        <v>96</v>
      </c>
      <c r="D27" s="13">
        <v>1</v>
      </c>
      <c r="E27" s="4"/>
      <c r="F27" s="5"/>
      <c r="G27" s="4"/>
      <c r="H27" s="5">
        <v>1</v>
      </c>
      <c r="I27" s="4"/>
      <c r="J27" s="5"/>
      <c r="K27" s="4"/>
      <c r="L27" s="5"/>
    </row>
    <row r="28" spans="1:29" ht="15" x14ac:dyDescent="0.3">
      <c r="A28" s="120"/>
      <c r="B28" s="46"/>
      <c r="C28" s="36">
        <v>96</v>
      </c>
      <c r="D28" s="13">
        <v>1</v>
      </c>
      <c r="E28" s="4"/>
      <c r="F28" s="5"/>
      <c r="G28" s="5"/>
      <c r="H28" s="5"/>
      <c r="I28" s="5">
        <v>1</v>
      </c>
      <c r="J28" s="5"/>
      <c r="K28" s="6"/>
      <c r="L28" s="6"/>
    </row>
    <row r="29" spans="1:29" ht="15" x14ac:dyDescent="0.3">
      <c r="A29" s="120"/>
      <c r="B29" s="46"/>
      <c r="C29" s="36">
        <v>96</v>
      </c>
      <c r="D29" s="13">
        <v>1</v>
      </c>
      <c r="E29" s="4"/>
      <c r="F29" s="5"/>
      <c r="G29" s="5"/>
      <c r="H29" s="5"/>
      <c r="I29" s="5"/>
      <c r="J29" s="5">
        <v>1</v>
      </c>
      <c r="K29" s="6"/>
      <c r="L29" s="6"/>
    </row>
    <row r="30" spans="1:29" ht="15" x14ac:dyDescent="0.3">
      <c r="A30" s="120"/>
      <c r="B30" s="46"/>
      <c r="C30" s="36">
        <v>96</v>
      </c>
      <c r="D30" s="13">
        <v>1</v>
      </c>
      <c r="E30" s="4"/>
      <c r="F30" s="5"/>
      <c r="G30" s="5"/>
      <c r="H30" s="5"/>
      <c r="I30" s="5"/>
      <c r="J30" s="5"/>
      <c r="K30" s="6">
        <v>1</v>
      </c>
      <c r="L30" s="6"/>
    </row>
    <row r="31" spans="1:29" x14ac:dyDescent="0.3">
      <c r="A31" s="120"/>
      <c r="C31">
        <f>SUM(C24:C30)</f>
        <v>3500</v>
      </c>
      <c r="W31" s="14"/>
      <c r="X31" s="16"/>
      <c r="Y31" s="37"/>
      <c r="Z31" s="12"/>
      <c r="AA31" s="18"/>
      <c r="AB31" s="18"/>
      <c r="AC31" s="19">
        <f>SUM(D24:D30)</f>
        <v>7</v>
      </c>
    </row>
    <row r="32" spans="1:29" ht="15.5" x14ac:dyDescent="0.3">
      <c r="A32" s="120"/>
      <c r="B32" s="137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9"/>
      <c r="U32" s="15"/>
      <c r="V32" s="15"/>
      <c r="W32" s="26"/>
      <c r="X32" s="27"/>
      <c r="Y32" s="27"/>
      <c r="Z32" s="28"/>
      <c r="AA32" s="29"/>
      <c r="AB32" s="29"/>
      <c r="AC32" s="30" t="s">
        <v>109</v>
      </c>
    </row>
    <row r="37" spans="1:29" x14ac:dyDescent="0.3">
      <c r="A37" s="1" t="s">
        <v>79</v>
      </c>
    </row>
    <row r="39" spans="1:29" x14ac:dyDescent="0.3">
      <c r="A39" s="120" t="s">
        <v>0</v>
      </c>
      <c r="B39" s="129" t="s">
        <v>110</v>
      </c>
      <c r="C39" s="127" t="s">
        <v>80</v>
      </c>
      <c r="D39" s="125" t="s">
        <v>81</v>
      </c>
      <c r="E39" s="127" t="s">
        <v>82</v>
      </c>
      <c r="F39" s="127" t="s">
        <v>83</v>
      </c>
      <c r="G39" s="150" t="s">
        <v>84</v>
      </c>
      <c r="H39" s="127" t="s">
        <v>85</v>
      </c>
      <c r="I39" s="150" t="s">
        <v>86</v>
      </c>
      <c r="J39" s="127" t="s">
        <v>87</v>
      </c>
      <c r="K39" s="127" t="s">
        <v>88</v>
      </c>
      <c r="L39" s="56"/>
      <c r="M39" s="57"/>
      <c r="N39" s="57"/>
      <c r="O39" s="57"/>
      <c r="P39" s="57"/>
      <c r="Q39" s="57"/>
      <c r="R39" s="57"/>
      <c r="S39" s="58"/>
      <c r="T39" s="127" t="s">
        <v>89</v>
      </c>
      <c r="U39" s="127" t="s">
        <v>90</v>
      </c>
      <c r="V39" s="140" t="s">
        <v>111</v>
      </c>
      <c r="W39" s="165" t="s">
        <v>91</v>
      </c>
      <c r="X39" s="142" t="s">
        <v>92</v>
      </c>
      <c r="Y39" s="144" t="s">
        <v>93</v>
      </c>
      <c r="Z39" s="167" t="s">
        <v>94</v>
      </c>
      <c r="AA39" s="148" t="s">
        <v>95</v>
      </c>
      <c r="AB39" s="148" t="s">
        <v>96</v>
      </c>
      <c r="AC39" s="146" t="s">
        <v>112</v>
      </c>
    </row>
    <row r="40" spans="1:29" x14ac:dyDescent="0.3">
      <c r="A40" s="120"/>
      <c r="B40" s="130"/>
      <c r="C40" s="128"/>
      <c r="D40" s="126"/>
      <c r="E40" s="128"/>
      <c r="F40" s="128"/>
      <c r="G40" s="151"/>
      <c r="H40" s="128"/>
      <c r="I40" s="151"/>
      <c r="J40" s="128"/>
      <c r="K40" s="128"/>
      <c r="L40" s="3">
        <v>28</v>
      </c>
      <c r="M40" s="3">
        <v>29</v>
      </c>
      <c r="N40" s="3">
        <v>30</v>
      </c>
      <c r="O40" s="3">
        <v>31</v>
      </c>
      <c r="P40" s="3">
        <v>32</v>
      </c>
      <c r="Q40" s="3">
        <v>33</v>
      </c>
      <c r="R40" s="3">
        <v>34</v>
      </c>
      <c r="S40" s="3">
        <v>35</v>
      </c>
      <c r="T40" s="128"/>
      <c r="U40" s="128"/>
      <c r="V40" s="141"/>
      <c r="W40" s="166"/>
      <c r="X40" s="143"/>
      <c r="Y40" s="145"/>
      <c r="Z40" s="168"/>
      <c r="AA40" s="149"/>
      <c r="AB40" s="149"/>
      <c r="AC40" s="147"/>
    </row>
    <row r="41" spans="1:29" ht="28" x14ac:dyDescent="0.3">
      <c r="A41" s="120"/>
      <c r="C41" s="152">
        <v>91338035</v>
      </c>
      <c r="D41" s="7">
        <v>532325</v>
      </c>
      <c r="E41" s="152" t="s">
        <v>97</v>
      </c>
      <c r="F41" s="155" t="s">
        <v>98</v>
      </c>
      <c r="G41" s="152" t="s">
        <v>98</v>
      </c>
      <c r="H41" s="152"/>
      <c r="I41" s="155" t="s">
        <v>99</v>
      </c>
      <c r="J41" s="155" t="s">
        <v>100</v>
      </c>
      <c r="K41" s="155" t="s">
        <v>125</v>
      </c>
      <c r="L41" s="4">
        <v>1</v>
      </c>
      <c r="M41" s="5">
        <v>1</v>
      </c>
      <c r="N41" s="5">
        <v>2</v>
      </c>
      <c r="O41" s="5">
        <v>2</v>
      </c>
      <c r="P41" s="5">
        <v>2</v>
      </c>
      <c r="Q41" s="5">
        <v>2</v>
      </c>
      <c r="R41" s="5">
        <v>1</v>
      </c>
      <c r="S41" s="5">
        <v>1</v>
      </c>
      <c r="T41" s="8">
        <v>12</v>
      </c>
      <c r="U41" s="9">
        <v>170</v>
      </c>
      <c r="V41" s="7">
        <f>T41*U41</f>
        <v>2040</v>
      </c>
      <c r="W41" s="10" t="s">
        <v>101</v>
      </c>
      <c r="X41" s="158" t="s">
        <v>102</v>
      </c>
      <c r="Y41" s="11" t="s">
        <v>103</v>
      </c>
      <c r="Z41" s="160">
        <v>43171</v>
      </c>
      <c r="AA41" s="12"/>
      <c r="AB41" s="12"/>
      <c r="AC41" s="13">
        <f>0.415*0.39*0.265*U41</f>
        <v>7.2913424999999998</v>
      </c>
    </row>
    <row r="42" spans="1:29" s="45" customFormat="1" ht="28" x14ac:dyDescent="0.3">
      <c r="A42" s="120"/>
      <c r="B42" s="47"/>
      <c r="C42" s="153"/>
      <c r="D42" s="48">
        <v>532326</v>
      </c>
      <c r="E42" s="153"/>
      <c r="F42" s="156"/>
      <c r="G42" s="153"/>
      <c r="H42" s="153"/>
      <c r="I42" s="156"/>
      <c r="J42" s="156"/>
      <c r="K42" s="156"/>
      <c r="L42" s="49">
        <v>1</v>
      </c>
      <c r="M42" s="50">
        <v>1</v>
      </c>
      <c r="N42" s="50">
        <v>1</v>
      </c>
      <c r="O42" s="50">
        <v>2</v>
      </c>
      <c r="P42" s="50">
        <v>2</v>
      </c>
      <c r="Q42" s="50">
        <v>1</v>
      </c>
      <c r="R42" s="50">
        <v>1</v>
      </c>
      <c r="S42" s="50">
        <v>1</v>
      </c>
      <c r="T42" s="50">
        <v>10</v>
      </c>
      <c r="U42" s="51">
        <v>98</v>
      </c>
      <c r="V42" s="48">
        <f t="shared" ref="V42:V47" si="0">T42*U42</f>
        <v>980</v>
      </c>
      <c r="W42" s="52" t="s">
        <v>104</v>
      </c>
      <c r="X42" s="159"/>
      <c r="Y42" s="53" t="s">
        <v>105</v>
      </c>
      <c r="Z42" s="161"/>
      <c r="AA42" s="54"/>
      <c r="AB42" s="54"/>
      <c r="AC42" s="55">
        <f>0.515*0.265*0.265*U42</f>
        <v>3.5442557500000005</v>
      </c>
    </row>
    <row r="43" spans="1:29" ht="15" x14ac:dyDescent="0.3">
      <c r="A43" s="120"/>
      <c r="B43" s="46"/>
      <c r="C43" s="153"/>
      <c r="D43" s="7">
        <v>533180</v>
      </c>
      <c r="E43" s="153"/>
      <c r="F43" s="156"/>
      <c r="G43" s="153"/>
      <c r="H43" s="153"/>
      <c r="I43" s="156"/>
      <c r="J43" s="156"/>
      <c r="K43" s="156" t="s">
        <v>126</v>
      </c>
      <c r="L43" s="4"/>
      <c r="M43" s="5"/>
      <c r="N43" s="4">
        <v>1</v>
      </c>
      <c r="O43" s="5"/>
      <c r="P43" s="4"/>
      <c r="Q43" s="5"/>
      <c r="R43" s="4"/>
      <c r="S43" s="5"/>
      <c r="T43" s="8">
        <v>16</v>
      </c>
      <c r="U43" s="9">
        <v>6</v>
      </c>
      <c r="V43" s="7">
        <f t="shared" si="0"/>
        <v>96</v>
      </c>
      <c r="W43" s="14" t="s">
        <v>106</v>
      </c>
      <c r="X43" s="159"/>
      <c r="Y43" s="163" t="s">
        <v>107</v>
      </c>
      <c r="Z43" s="161"/>
      <c r="AA43" s="12"/>
      <c r="AB43" s="12"/>
      <c r="AC43" s="13">
        <f>0.515*0.415*0.265*U43</f>
        <v>0.33982275000000001</v>
      </c>
    </row>
    <row r="44" spans="1:29" ht="15" x14ac:dyDescent="0.3">
      <c r="A44" s="120"/>
      <c r="B44" s="46">
        <v>16501</v>
      </c>
      <c r="C44" s="153"/>
      <c r="D44" s="7">
        <v>533181</v>
      </c>
      <c r="E44" s="153"/>
      <c r="F44" s="156"/>
      <c r="G44" s="153"/>
      <c r="H44" s="153"/>
      <c r="I44" s="156"/>
      <c r="J44" s="156"/>
      <c r="K44" s="156"/>
      <c r="L44" s="4"/>
      <c r="M44" s="5"/>
      <c r="N44" s="4"/>
      <c r="O44" s="5">
        <v>1</v>
      </c>
      <c r="P44" s="4"/>
      <c r="Q44" s="5"/>
      <c r="R44" s="4"/>
      <c r="S44" s="5"/>
      <c r="T44" s="8">
        <v>16</v>
      </c>
      <c r="U44" s="9">
        <v>6</v>
      </c>
      <c r="V44" s="7">
        <f t="shared" si="0"/>
        <v>96</v>
      </c>
      <c r="W44" s="14" t="s">
        <v>106</v>
      </c>
      <c r="X44" s="159"/>
      <c r="Y44" s="164"/>
      <c r="Z44" s="161"/>
      <c r="AA44" s="12"/>
      <c r="AB44" s="12"/>
      <c r="AC44" s="13">
        <f>0.515*0.415*0.265*U44</f>
        <v>0.33982275000000001</v>
      </c>
    </row>
    <row r="45" spans="1:29" ht="15" x14ac:dyDescent="0.3">
      <c r="A45" s="120"/>
      <c r="B45" s="46"/>
      <c r="C45" s="153"/>
      <c r="D45" s="7">
        <v>533182</v>
      </c>
      <c r="E45" s="153"/>
      <c r="F45" s="156"/>
      <c r="G45" s="153"/>
      <c r="H45" s="153"/>
      <c r="I45" s="156"/>
      <c r="J45" s="156"/>
      <c r="K45" s="156"/>
      <c r="L45" s="4"/>
      <c r="M45" s="5"/>
      <c r="N45" s="5"/>
      <c r="O45" s="5"/>
      <c r="P45" s="5">
        <v>1</v>
      </c>
      <c r="Q45" s="5"/>
      <c r="R45" s="6"/>
      <c r="S45" s="6"/>
      <c r="T45" s="8">
        <v>16</v>
      </c>
      <c r="U45" s="9">
        <v>6</v>
      </c>
      <c r="V45" s="7">
        <f t="shared" si="0"/>
        <v>96</v>
      </c>
      <c r="W45" s="14" t="s">
        <v>106</v>
      </c>
      <c r="X45" s="159"/>
      <c r="Y45" s="164"/>
      <c r="Z45" s="161"/>
      <c r="AA45" s="12"/>
      <c r="AB45" s="12"/>
      <c r="AC45" s="13">
        <f>0.515*0.415*0.265*U45</f>
        <v>0.33982275000000001</v>
      </c>
    </row>
    <row r="46" spans="1:29" ht="15" x14ac:dyDescent="0.3">
      <c r="A46" s="120"/>
      <c r="B46" s="46"/>
      <c r="C46" s="153"/>
      <c r="D46" s="36">
        <v>533183</v>
      </c>
      <c r="E46" s="153"/>
      <c r="F46" s="156"/>
      <c r="G46" s="153"/>
      <c r="H46" s="153"/>
      <c r="I46" s="156"/>
      <c r="J46" s="156"/>
      <c r="K46" s="156"/>
      <c r="L46" s="4"/>
      <c r="M46" s="5"/>
      <c r="N46" s="5"/>
      <c r="O46" s="5"/>
      <c r="P46" s="5"/>
      <c r="Q46" s="5">
        <v>1</v>
      </c>
      <c r="R46" s="6"/>
      <c r="S46" s="6"/>
      <c r="T46" s="8">
        <v>16</v>
      </c>
      <c r="U46" s="9">
        <v>6</v>
      </c>
      <c r="V46" s="7">
        <f t="shared" si="0"/>
        <v>96</v>
      </c>
      <c r="W46" s="14" t="s">
        <v>106</v>
      </c>
      <c r="X46" s="159"/>
      <c r="Y46" s="164"/>
      <c r="Z46" s="161"/>
      <c r="AA46" s="12"/>
      <c r="AB46" s="12"/>
      <c r="AC46" s="13">
        <f>0.515*0.415*0.265*U46</f>
        <v>0.33982275000000001</v>
      </c>
    </row>
    <row r="47" spans="1:29" ht="15" x14ac:dyDescent="0.3">
      <c r="A47" s="120"/>
      <c r="B47" s="46"/>
      <c r="C47" s="154"/>
      <c r="D47" s="36">
        <v>533184</v>
      </c>
      <c r="E47" s="154"/>
      <c r="F47" s="157"/>
      <c r="G47" s="154"/>
      <c r="H47" s="154"/>
      <c r="I47" s="157"/>
      <c r="J47" s="157"/>
      <c r="K47" s="157"/>
      <c r="L47" s="4"/>
      <c r="M47" s="5"/>
      <c r="N47" s="5"/>
      <c r="O47" s="5"/>
      <c r="P47" s="5"/>
      <c r="Q47" s="5"/>
      <c r="R47" s="6">
        <v>1</v>
      </c>
      <c r="S47" s="6"/>
      <c r="T47" s="8">
        <v>16</v>
      </c>
      <c r="U47" s="9">
        <v>6</v>
      </c>
      <c r="V47" s="7">
        <f t="shared" si="0"/>
        <v>96</v>
      </c>
      <c r="W47" s="14" t="s">
        <v>106</v>
      </c>
      <c r="X47" s="159"/>
      <c r="Y47" s="164"/>
      <c r="Z47" s="162"/>
      <c r="AA47" s="12"/>
      <c r="AB47" s="12"/>
      <c r="AC47" s="13">
        <f>0.515*0.415*0.265*U47</f>
        <v>0.33982275000000001</v>
      </c>
    </row>
    <row r="48" spans="1:29" x14ac:dyDescent="0.3">
      <c r="A48" s="120"/>
      <c r="W48" s="14"/>
      <c r="X48" s="16"/>
      <c r="Y48" s="17"/>
      <c r="Z48" s="12"/>
      <c r="AA48" s="18">
        <f>SUM(AA41:AA47)</f>
        <v>0</v>
      </c>
      <c r="AB48" s="18">
        <f>SUM(AB41:AB47)</f>
        <v>0</v>
      </c>
      <c r="AC48" s="19">
        <f>SUM(AC41:AC47)</f>
        <v>12.534711999999999</v>
      </c>
    </row>
    <row r="49" spans="1:29" ht="15.5" x14ac:dyDescent="0.3">
      <c r="A49" s="120"/>
      <c r="B49" s="137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15"/>
      <c r="V49" s="15">
        <f>SUM(V41:V47)</f>
        <v>3500</v>
      </c>
      <c r="W49" s="26"/>
      <c r="X49" s="27"/>
      <c r="Y49" s="27"/>
      <c r="Z49" s="28"/>
      <c r="AA49" s="29"/>
      <c r="AB49" s="29"/>
      <c r="AC49" s="30" t="s">
        <v>109</v>
      </c>
    </row>
    <row r="50" spans="1:29" ht="15.5" x14ac:dyDescent="0.3">
      <c r="B50" s="20" t="s">
        <v>108</v>
      </c>
      <c r="C50" s="21"/>
      <c r="D50" s="21"/>
      <c r="E50" s="22"/>
      <c r="F50" s="23"/>
      <c r="G50" s="23"/>
      <c r="H50" s="24"/>
      <c r="I50" s="25"/>
      <c r="J50" s="21"/>
      <c r="K50" s="21"/>
      <c r="L50" s="21"/>
      <c r="M50" s="21"/>
      <c r="N50" s="21"/>
      <c r="O50" s="22"/>
      <c r="P50" s="23"/>
      <c r="Q50" s="23"/>
      <c r="R50" s="24"/>
      <c r="S50" s="21"/>
      <c r="T50" s="21"/>
      <c r="U50" s="21"/>
      <c r="V50" s="21"/>
    </row>
    <row r="61" spans="1:29" x14ac:dyDescent="0.3">
      <c r="A61" s="1" t="s">
        <v>157</v>
      </c>
    </row>
    <row r="63" spans="1:29" x14ac:dyDescent="0.3">
      <c r="A63" s="120" t="s">
        <v>0</v>
      </c>
      <c r="B63" s="129" t="s">
        <v>158</v>
      </c>
      <c r="C63" s="127" t="s">
        <v>80</v>
      </c>
      <c r="D63" s="125" t="s">
        <v>81</v>
      </c>
      <c r="E63" s="127" t="s">
        <v>82</v>
      </c>
      <c r="F63" s="127" t="s">
        <v>83</v>
      </c>
      <c r="G63" s="150" t="s">
        <v>84</v>
      </c>
      <c r="H63" s="127" t="s">
        <v>85</v>
      </c>
      <c r="I63" s="150" t="s">
        <v>86</v>
      </c>
      <c r="J63" s="127" t="s">
        <v>87</v>
      </c>
      <c r="K63" s="127" t="s">
        <v>88</v>
      </c>
      <c r="L63" s="127" t="s">
        <v>89</v>
      </c>
      <c r="M63" s="127" t="s">
        <v>90</v>
      </c>
      <c r="N63" s="140" t="s">
        <v>111</v>
      </c>
      <c r="O63" s="165" t="s">
        <v>91</v>
      </c>
      <c r="P63" s="142" t="s">
        <v>92</v>
      </c>
      <c r="Q63" s="144" t="s">
        <v>93</v>
      </c>
      <c r="R63" s="167" t="s">
        <v>94</v>
      </c>
      <c r="S63" s="148" t="s">
        <v>95</v>
      </c>
      <c r="T63" s="148" t="s">
        <v>96</v>
      </c>
      <c r="U63" s="146" t="s">
        <v>112</v>
      </c>
      <c r="V63" s="56"/>
      <c r="W63" s="57"/>
      <c r="X63" s="57"/>
      <c r="Y63" s="57"/>
      <c r="Z63" s="57"/>
      <c r="AA63" s="57"/>
      <c r="AB63" s="57"/>
      <c r="AC63" s="58"/>
    </row>
    <row r="64" spans="1:29" x14ac:dyDescent="0.3">
      <c r="A64" s="120"/>
      <c r="B64" s="130"/>
      <c r="C64" s="128"/>
      <c r="D64" s="126"/>
      <c r="E64" s="128"/>
      <c r="F64" s="128"/>
      <c r="G64" s="151"/>
      <c r="H64" s="128"/>
      <c r="I64" s="151"/>
      <c r="J64" s="128"/>
      <c r="K64" s="128"/>
      <c r="L64" s="128"/>
      <c r="M64" s="128"/>
      <c r="N64" s="141"/>
      <c r="O64" s="166"/>
      <c r="P64" s="143"/>
      <c r="Q64" s="145"/>
      <c r="R64" s="168"/>
      <c r="S64" s="149"/>
      <c r="T64" s="149"/>
      <c r="U64" s="147"/>
      <c r="V64" s="3">
        <v>28</v>
      </c>
      <c r="W64" s="3">
        <v>29</v>
      </c>
      <c r="X64" s="3">
        <v>30</v>
      </c>
      <c r="Y64" s="3">
        <v>31</v>
      </c>
      <c r="Z64" s="3">
        <v>32</v>
      </c>
      <c r="AA64" s="3">
        <v>33</v>
      </c>
      <c r="AB64" s="3">
        <v>34</v>
      </c>
      <c r="AC64" s="3">
        <v>35</v>
      </c>
    </row>
    <row r="65" spans="1:29" ht="28" x14ac:dyDescent="0.3">
      <c r="A65" s="120"/>
      <c r="C65" s="152">
        <v>91338035</v>
      </c>
      <c r="D65" s="36">
        <v>532325</v>
      </c>
      <c r="E65" s="152" t="s">
        <v>97</v>
      </c>
      <c r="F65" s="155" t="s">
        <v>98</v>
      </c>
      <c r="G65" s="152" t="s">
        <v>98</v>
      </c>
      <c r="H65" s="152"/>
      <c r="I65" s="155" t="s">
        <v>99</v>
      </c>
      <c r="J65" s="155" t="s">
        <v>100</v>
      </c>
      <c r="K65" s="155" t="s">
        <v>125</v>
      </c>
      <c r="L65" s="8">
        <v>12</v>
      </c>
      <c r="M65" s="9">
        <v>170</v>
      </c>
      <c r="N65" s="36">
        <f>L65*M65</f>
        <v>2040</v>
      </c>
      <c r="O65" s="10" t="s">
        <v>101</v>
      </c>
      <c r="P65" s="158" t="s">
        <v>102</v>
      </c>
      <c r="Q65" s="11" t="s">
        <v>103</v>
      </c>
      <c r="R65" s="160">
        <v>43171</v>
      </c>
      <c r="S65" s="12"/>
      <c r="T65" s="12"/>
      <c r="U65" s="13">
        <f>0.415*0.39*0.265*M65</f>
        <v>7.2913424999999998</v>
      </c>
      <c r="V65" s="4">
        <v>1</v>
      </c>
      <c r="W65" s="5">
        <v>1</v>
      </c>
      <c r="X65" s="5">
        <v>2</v>
      </c>
      <c r="Y65" s="5">
        <v>2</v>
      </c>
      <c r="Z65" s="5">
        <v>2</v>
      </c>
      <c r="AA65" s="5">
        <v>2</v>
      </c>
      <c r="AB65" s="5">
        <v>1</v>
      </c>
      <c r="AC65" s="5">
        <v>1</v>
      </c>
    </row>
    <row r="66" spans="1:29" ht="28" x14ac:dyDescent="0.3">
      <c r="A66" s="120"/>
      <c r="B66" s="47"/>
      <c r="C66" s="153"/>
      <c r="D66" s="48">
        <v>532326</v>
      </c>
      <c r="E66" s="153"/>
      <c r="F66" s="156"/>
      <c r="G66" s="153"/>
      <c r="H66" s="153"/>
      <c r="I66" s="156"/>
      <c r="J66" s="156"/>
      <c r="K66" s="156"/>
      <c r="L66" s="50">
        <v>10</v>
      </c>
      <c r="M66" s="51">
        <v>98</v>
      </c>
      <c r="N66" s="48">
        <f t="shared" ref="N66:N71" si="1">L66*M66</f>
        <v>980</v>
      </c>
      <c r="O66" s="52" t="s">
        <v>104</v>
      </c>
      <c r="P66" s="159"/>
      <c r="Q66" s="53" t="s">
        <v>105</v>
      </c>
      <c r="R66" s="161"/>
      <c r="S66" s="54"/>
      <c r="T66" s="54"/>
      <c r="U66" s="55">
        <f>0.515*0.265*0.265*M66</f>
        <v>3.5442557500000005</v>
      </c>
      <c r="V66" s="49">
        <v>1</v>
      </c>
      <c r="W66" s="50">
        <v>1</v>
      </c>
      <c r="X66" s="50">
        <v>1</v>
      </c>
      <c r="Y66" s="50">
        <v>2</v>
      </c>
      <c r="Z66" s="50">
        <v>2</v>
      </c>
      <c r="AA66" s="50">
        <v>1</v>
      </c>
      <c r="AB66" s="50">
        <v>1</v>
      </c>
      <c r="AC66" s="50">
        <v>1</v>
      </c>
    </row>
    <row r="67" spans="1:29" ht="15" x14ac:dyDescent="0.3">
      <c r="A67" s="120"/>
      <c r="B67" s="46"/>
      <c r="C67" s="153"/>
      <c r="D67" s="36">
        <v>533180</v>
      </c>
      <c r="E67" s="153"/>
      <c r="F67" s="156"/>
      <c r="G67" s="153"/>
      <c r="H67" s="153"/>
      <c r="I67" s="156"/>
      <c r="J67" s="156"/>
      <c r="K67" s="156" t="s">
        <v>126</v>
      </c>
      <c r="L67" s="8">
        <v>16</v>
      </c>
      <c r="M67" s="9">
        <v>6</v>
      </c>
      <c r="N67" s="36">
        <f t="shared" si="1"/>
        <v>96</v>
      </c>
      <c r="O67" s="14" t="s">
        <v>106</v>
      </c>
      <c r="P67" s="159"/>
      <c r="Q67" s="163" t="s">
        <v>107</v>
      </c>
      <c r="R67" s="161"/>
      <c r="S67" s="12"/>
      <c r="T67" s="12"/>
      <c r="U67" s="13">
        <f>0.515*0.415*0.265*M67</f>
        <v>0.33982275000000001</v>
      </c>
      <c r="V67" s="4"/>
      <c r="W67" s="5"/>
      <c r="X67" s="4">
        <v>1</v>
      </c>
      <c r="Y67" s="5"/>
      <c r="Z67" s="4"/>
      <c r="AA67" s="5"/>
      <c r="AB67" s="4"/>
      <c r="AC67" s="5"/>
    </row>
    <row r="68" spans="1:29" ht="15" x14ac:dyDescent="0.3">
      <c r="A68" s="120"/>
      <c r="B68" s="46">
        <v>16501</v>
      </c>
      <c r="C68" s="153"/>
      <c r="D68" s="36">
        <v>533181</v>
      </c>
      <c r="E68" s="153"/>
      <c r="F68" s="156"/>
      <c r="G68" s="153"/>
      <c r="H68" s="153"/>
      <c r="I68" s="156"/>
      <c r="J68" s="156"/>
      <c r="K68" s="156"/>
      <c r="L68" s="8">
        <v>16</v>
      </c>
      <c r="M68" s="9">
        <v>6</v>
      </c>
      <c r="N68" s="36">
        <f t="shared" si="1"/>
        <v>96</v>
      </c>
      <c r="O68" s="14" t="s">
        <v>106</v>
      </c>
      <c r="P68" s="159"/>
      <c r="Q68" s="164"/>
      <c r="R68" s="161"/>
      <c r="S68" s="12"/>
      <c r="T68" s="12"/>
      <c r="U68" s="13">
        <f>0.515*0.415*0.265*M68</f>
        <v>0.33982275000000001</v>
      </c>
      <c r="V68" s="4"/>
      <c r="W68" s="5"/>
      <c r="X68" s="4"/>
      <c r="Y68" s="5">
        <v>1</v>
      </c>
      <c r="Z68" s="4"/>
      <c r="AA68" s="5"/>
      <c r="AB68" s="4"/>
      <c r="AC68" s="5"/>
    </row>
    <row r="69" spans="1:29" ht="15" x14ac:dyDescent="0.3">
      <c r="A69" s="120"/>
      <c r="B69" s="46"/>
      <c r="C69" s="153"/>
      <c r="D69" s="36">
        <v>533182</v>
      </c>
      <c r="E69" s="153"/>
      <c r="F69" s="156"/>
      <c r="G69" s="153"/>
      <c r="H69" s="153"/>
      <c r="I69" s="156"/>
      <c r="J69" s="156"/>
      <c r="K69" s="156"/>
      <c r="L69" s="8">
        <v>16</v>
      </c>
      <c r="M69" s="9">
        <v>6</v>
      </c>
      <c r="N69" s="36">
        <f t="shared" si="1"/>
        <v>96</v>
      </c>
      <c r="O69" s="14" t="s">
        <v>106</v>
      </c>
      <c r="P69" s="159"/>
      <c r="Q69" s="164"/>
      <c r="R69" s="161"/>
      <c r="S69" s="12"/>
      <c r="T69" s="12"/>
      <c r="U69" s="13">
        <f>0.515*0.415*0.265*M69</f>
        <v>0.33982275000000001</v>
      </c>
      <c r="V69" s="4"/>
      <c r="W69" s="5"/>
      <c r="X69" s="5"/>
      <c r="Y69" s="5"/>
      <c r="Z69" s="5">
        <v>1</v>
      </c>
      <c r="AA69" s="5"/>
      <c r="AB69" s="6"/>
      <c r="AC69" s="6"/>
    </row>
    <row r="70" spans="1:29" ht="15" x14ac:dyDescent="0.3">
      <c r="A70" s="120"/>
      <c r="B70" s="46"/>
      <c r="C70" s="153"/>
      <c r="D70" s="36">
        <v>533183</v>
      </c>
      <c r="E70" s="153"/>
      <c r="F70" s="156"/>
      <c r="G70" s="153"/>
      <c r="H70" s="153"/>
      <c r="I70" s="156"/>
      <c r="J70" s="156"/>
      <c r="K70" s="156"/>
      <c r="L70" s="8">
        <v>16</v>
      </c>
      <c r="M70" s="9">
        <v>6</v>
      </c>
      <c r="N70" s="36">
        <f t="shared" si="1"/>
        <v>96</v>
      </c>
      <c r="O70" s="14" t="s">
        <v>106</v>
      </c>
      <c r="P70" s="159"/>
      <c r="Q70" s="164"/>
      <c r="R70" s="161"/>
      <c r="S70" s="12"/>
      <c r="T70" s="12"/>
      <c r="U70" s="13">
        <f>0.515*0.415*0.265*M70</f>
        <v>0.33982275000000001</v>
      </c>
      <c r="V70" s="4"/>
      <c r="W70" s="5"/>
      <c r="X70" s="5"/>
      <c r="Y70" s="5"/>
      <c r="Z70" s="5"/>
      <c r="AA70" s="5">
        <v>1</v>
      </c>
      <c r="AB70" s="6"/>
      <c r="AC70" s="6"/>
    </row>
    <row r="71" spans="1:29" ht="15" x14ac:dyDescent="0.3">
      <c r="A71" s="120"/>
      <c r="B71" s="46"/>
      <c r="C71" s="154"/>
      <c r="D71" s="36">
        <v>533184</v>
      </c>
      <c r="E71" s="154"/>
      <c r="F71" s="157"/>
      <c r="G71" s="154"/>
      <c r="H71" s="154"/>
      <c r="I71" s="157"/>
      <c r="J71" s="157"/>
      <c r="K71" s="157"/>
      <c r="L71" s="8">
        <v>16</v>
      </c>
      <c r="M71" s="9">
        <v>6</v>
      </c>
      <c r="N71" s="36">
        <f t="shared" si="1"/>
        <v>96</v>
      </c>
      <c r="O71" s="14" t="s">
        <v>106</v>
      </c>
      <c r="P71" s="159"/>
      <c r="Q71" s="164"/>
      <c r="R71" s="162"/>
      <c r="S71" s="12"/>
      <c r="T71" s="12"/>
      <c r="U71" s="13">
        <f>0.515*0.415*0.265*M71</f>
        <v>0.33982275000000001</v>
      </c>
      <c r="V71" s="4"/>
      <c r="W71" s="5"/>
      <c r="X71" s="5"/>
      <c r="Y71" s="5"/>
      <c r="Z71" s="5"/>
      <c r="AA71" s="5"/>
      <c r="AB71" s="6">
        <v>1</v>
      </c>
      <c r="AC71" s="6"/>
    </row>
    <row r="72" spans="1:29" x14ac:dyDescent="0.3">
      <c r="A72" s="120"/>
      <c r="S72" s="18">
        <f>SUM(S65:S71)</f>
        <v>0</v>
      </c>
      <c r="T72" s="18">
        <f>SUM(T65:T71)</f>
        <v>0</v>
      </c>
      <c r="U72" s="19">
        <f>SUM(U65:U71)</f>
        <v>12.534711999999999</v>
      </c>
    </row>
    <row r="73" spans="1:29" ht="15.5" x14ac:dyDescent="0.3">
      <c r="A73" s="120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15">
        <f>SUM(N65:N71)</f>
        <v>3500</v>
      </c>
      <c r="O73" s="46"/>
      <c r="P73" s="46"/>
      <c r="Q73" s="46"/>
      <c r="R73" s="46"/>
      <c r="S73" s="46"/>
      <c r="T73" s="46"/>
      <c r="U73" s="15"/>
      <c r="W73" s="26"/>
      <c r="X73" s="27"/>
      <c r="Y73" s="27"/>
      <c r="Z73" s="28"/>
      <c r="AA73" s="29"/>
      <c r="AB73" s="29"/>
      <c r="AC73" s="30" t="s">
        <v>109</v>
      </c>
    </row>
    <row r="74" spans="1:29" x14ac:dyDescent="0.3">
      <c r="A74" s="45"/>
    </row>
    <row r="77" spans="1:29" x14ac:dyDescent="0.3">
      <c r="A77" s="1" t="s">
        <v>156</v>
      </c>
    </row>
    <row r="78" spans="1:29" x14ac:dyDescent="0.3">
      <c r="A78" s="120" t="s">
        <v>0</v>
      </c>
      <c r="B78" s="136" t="s">
        <v>139</v>
      </c>
      <c r="C78" s="136" t="s">
        <v>140</v>
      </c>
      <c r="D78" s="136" t="s">
        <v>141</v>
      </c>
      <c r="E78" s="38" t="s">
        <v>142</v>
      </c>
      <c r="F78" s="39">
        <v>34</v>
      </c>
      <c r="G78" s="39">
        <v>35</v>
      </c>
      <c r="H78" s="39">
        <v>36</v>
      </c>
      <c r="I78" s="39">
        <v>37</v>
      </c>
      <c r="J78" s="39">
        <v>38</v>
      </c>
      <c r="K78" s="39">
        <v>39</v>
      </c>
    </row>
    <row r="79" spans="1:29" x14ac:dyDescent="0.3">
      <c r="A79" s="120"/>
      <c r="B79" s="136"/>
      <c r="C79" s="136"/>
      <c r="D79" s="136"/>
      <c r="E79" s="4" t="s">
        <v>143</v>
      </c>
      <c r="F79" s="40">
        <v>2</v>
      </c>
      <c r="G79" s="41">
        <v>2.5</v>
      </c>
      <c r="H79" s="40">
        <v>3</v>
      </c>
      <c r="I79" s="40">
        <v>4</v>
      </c>
      <c r="J79" s="40">
        <v>5</v>
      </c>
      <c r="K79" s="40">
        <v>6</v>
      </c>
    </row>
    <row r="80" spans="1:29" x14ac:dyDescent="0.3">
      <c r="A80" s="120"/>
      <c r="B80" s="133"/>
      <c r="C80" s="133"/>
      <c r="D80" s="133"/>
      <c r="E80" s="4" t="s">
        <v>144</v>
      </c>
      <c r="F80" s="40">
        <v>22.5</v>
      </c>
      <c r="G80" s="40">
        <v>23.5</v>
      </c>
      <c r="H80" s="40">
        <v>24</v>
      </c>
      <c r="I80" s="40">
        <v>24.5</v>
      </c>
      <c r="J80" s="40">
        <v>25.5</v>
      </c>
      <c r="K80" s="40">
        <v>26</v>
      </c>
    </row>
    <row r="81" spans="1:14" ht="15.5" x14ac:dyDescent="0.3">
      <c r="A81" s="120"/>
      <c r="B81" s="132" t="s">
        <v>145</v>
      </c>
      <c r="C81" s="42" t="s">
        <v>146</v>
      </c>
      <c r="D81" s="132">
        <v>2129</v>
      </c>
      <c r="E81" s="42" t="s">
        <v>147</v>
      </c>
      <c r="F81" s="43">
        <f>2*148</f>
        <v>296</v>
      </c>
      <c r="G81" s="43">
        <f>2*538</f>
        <v>1076</v>
      </c>
      <c r="H81" s="43">
        <f>2*792</f>
        <v>1584</v>
      </c>
      <c r="I81" s="43">
        <f>2*782</f>
        <v>1564</v>
      </c>
      <c r="J81" s="43">
        <f>2*602</f>
        <v>1204</v>
      </c>
      <c r="K81" s="43">
        <f>2*174</f>
        <v>348</v>
      </c>
    </row>
    <row r="82" spans="1:14" ht="15.5" x14ac:dyDescent="0.3">
      <c r="A82" s="120"/>
      <c r="B82" s="133"/>
      <c r="C82" s="43" t="s">
        <v>148</v>
      </c>
      <c r="D82" s="133"/>
      <c r="E82" s="42" t="s">
        <v>147</v>
      </c>
      <c r="F82" s="43">
        <f>2*90</f>
        <v>180</v>
      </c>
      <c r="G82" s="43">
        <f>2*420</f>
        <v>840</v>
      </c>
      <c r="H82" s="43">
        <f>2*675</f>
        <v>1350</v>
      </c>
      <c r="I82" s="43">
        <f>2*725</f>
        <v>1450</v>
      </c>
      <c r="J82" s="43">
        <f>2*665</f>
        <v>1330</v>
      </c>
      <c r="K82" s="43">
        <f>2*195</f>
        <v>390</v>
      </c>
    </row>
    <row r="83" spans="1:14" ht="15.5" x14ac:dyDescent="0.3">
      <c r="A83" s="120"/>
      <c r="B83" s="44" t="s">
        <v>149</v>
      </c>
      <c r="C83" s="42" t="s">
        <v>150</v>
      </c>
      <c r="D83" s="42">
        <v>2137</v>
      </c>
      <c r="E83" s="42" t="s">
        <v>147</v>
      </c>
      <c r="F83" s="43">
        <f>2*30</f>
        <v>60</v>
      </c>
      <c r="G83" s="43">
        <f>2*130</f>
        <v>260</v>
      </c>
      <c r="H83" s="43">
        <f>2*140</f>
        <v>280</v>
      </c>
      <c r="I83" s="43">
        <f>2*170</f>
        <v>340</v>
      </c>
      <c r="J83" s="43">
        <f>2*60</f>
        <v>120</v>
      </c>
      <c r="K83" s="43">
        <f>2*70</f>
        <v>140</v>
      </c>
    </row>
    <row r="84" spans="1:14" ht="15.5" x14ac:dyDescent="0.3">
      <c r="A84" s="120"/>
      <c r="B84" s="132" t="s">
        <v>151</v>
      </c>
      <c r="C84" s="43" t="s">
        <v>152</v>
      </c>
      <c r="D84" s="134">
        <v>2129</v>
      </c>
      <c r="E84" s="42" t="s">
        <v>147</v>
      </c>
      <c r="F84" s="43">
        <f>2*130</f>
        <v>260</v>
      </c>
      <c r="G84" s="43">
        <f>2*420</f>
        <v>840</v>
      </c>
      <c r="H84" s="43">
        <f>2*660</f>
        <v>1320</v>
      </c>
      <c r="I84" s="43">
        <f>2*650</f>
        <v>1300</v>
      </c>
      <c r="J84" s="43">
        <f>2*410</f>
        <v>820</v>
      </c>
      <c r="K84" s="43">
        <f>2*230</f>
        <v>460</v>
      </c>
    </row>
    <row r="85" spans="1:14" ht="15.5" x14ac:dyDescent="0.3">
      <c r="A85" s="120"/>
      <c r="B85" s="133"/>
      <c r="C85" s="43" t="s">
        <v>150</v>
      </c>
      <c r="D85" s="135"/>
      <c r="E85" s="42" t="s">
        <v>147</v>
      </c>
      <c r="F85" s="43">
        <f>2*130</f>
        <v>260</v>
      </c>
      <c r="G85" s="43">
        <f>2*350</f>
        <v>700</v>
      </c>
      <c r="H85" s="43">
        <f>2*660</f>
        <v>1320</v>
      </c>
      <c r="I85" s="43">
        <f>2*780</f>
        <v>1560</v>
      </c>
      <c r="J85" s="43">
        <f>2*500</f>
        <v>1000</v>
      </c>
      <c r="K85" s="43" t="s">
        <v>153</v>
      </c>
    </row>
    <row r="88" spans="1:14" x14ac:dyDescent="0.3">
      <c r="A88" s="1" t="s">
        <v>208</v>
      </c>
      <c r="B88" t="s">
        <v>190</v>
      </c>
    </row>
    <row r="89" spans="1:14" x14ac:dyDescent="0.3">
      <c r="A89" s="120" t="s">
        <v>0</v>
      </c>
      <c r="L89">
        <v>2300</v>
      </c>
      <c r="M89">
        <f>ROUNDUP(L89/48,0)+1</f>
        <v>49</v>
      </c>
      <c r="N89" t="str" cm="1">
        <f t="array" ref="N89">_xll.IdCombinePrintQI(M89:M91)</f>
        <v>1 1 1 1 1 1 1 1 1 1 1 1 1 1 1 1 1 1 1 1 1 1 1 1 1 1 1 1 1 1 1 1 1 1 1 1 1 1 1 1 1 1 1 1 1 1 1 1 1 2 2 2 2 2 2 2 2 2 2 2 2 2 2 2 2 2 2 2 2 2 2 2 2 2 2 2 2 2 2 2 2 2 2 2 2 2 2 2 2 2 2 2 2 2 2 2 2 2 3 3 3 3 3 3 3 3 3 3 3 3 3 3 3 3 3 3 3 3 3 3 3 3 3 3 3 3 3 3 3 3 3 3 3</v>
      </c>
    </row>
    <row r="90" spans="1:14" x14ac:dyDescent="0.3">
      <c r="A90" s="120"/>
      <c r="L90">
        <v>2300</v>
      </c>
      <c r="M90">
        <f t="shared" ref="M90:M91" si="2">ROUNDUP(L90/48,0)+1</f>
        <v>49</v>
      </c>
    </row>
    <row r="91" spans="1:14" x14ac:dyDescent="0.3">
      <c r="A91" s="120"/>
      <c r="L91">
        <v>1600</v>
      </c>
      <c r="M91">
        <f t="shared" si="2"/>
        <v>35</v>
      </c>
    </row>
    <row r="93" spans="1:14" x14ac:dyDescent="0.3">
      <c r="A93" s="1" t="s">
        <v>209</v>
      </c>
      <c r="B93" s="78">
        <v>35</v>
      </c>
      <c r="C93" s="78">
        <v>36</v>
      </c>
      <c r="D93" s="78">
        <v>37</v>
      </c>
      <c r="E93" s="78">
        <v>38</v>
      </c>
      <c r="F93" s="78">
        <v>39</v>
      </c>
      <c r="G93" s="78">
        <v>40</v>
      </c>
    </row>
    <row r="94" spans="1:14" x14ac:dyDescent="0.3">
      <c r="A94" s="120" t="s">
        <v>0</v>
      </c>
      <c r="B94" s="78"/>
      <c r="C94" s="78"/>
      <c r="D94" s="78"/>
      <c r="E94" s="78"/>
      <c r="F94" s="78"/>
      <c r="G94" s="78"/>
    </row>
    <row r="95" spans="1:14" x14ac:dyDescent="0.3">
      <c r="A95" s="120"/>
    </row>
    <row r="96" spans="1:14" x14ac:dyDescent="0.3">
      <c r="A96" s="120"/>
    </row>
    <row r="98" spans="1:8" x14ac:dyDescent="0.3">
      <c r="A98" s="1" t="s">
        <v>210</v>
      </c>
      <c r="B98" s="117">
        <v>35</v>
      </c>
      <c r="C98" s="117">
        <v>36</v>
      </c>
      <c r="D98" s="117">
        <v>37</v>
      </c>
      <c r="E98" s="117">
        <v>38</v>
      </c>
      <c r="F98" s="117">
        <v>39</v>
      </c>
      <c r="G98" s="117">
        <v>40</v>
      </c>
    </row>
    <row r="99" spans="1:8" x14ac:dyDescent="0.3">
      <c r="A99" s="120" t="s">
        <v>0</v>
      </c>
      <c r="B99" s="117"/>
      <c r="C99" s="117"/>
      <c r="D99" s="117"/>
      <c r="E99" s="117"/>
      <c r="F99" s="117"/>
      <c r="G99" s="117"/>
    </row>
    <row r="100" spans="1:8" x14ac:dyDescent="0.3">
      <c r="A100" s="120"/>
    </row>
    <row r="101" spans="1:8" x14ac:dyDescent="0.3">
      <c r="A101" s="120"/>
    </row>
    <row r="103" spans="1:8" x14ac:dyDescent="0.3">
      <c r="A103" s="1" t="s">
        <v>211</v>
      </c>
      <c r="C103" t="s">
        <v>65</v>
      </c>
    </row>
    <row r="104" spans="1:8" x14ac:dyDescent="0.3">
      <c r="A104" s="120" t="s">
        <v>0</v>
      </c>
      <c r="B104" s="78">
        <v>35</v>
      </c>
      <c r="C104" s="78">
        <v>36</v>
      </c>
      <c r="D104" s="78">
        <v>37</v>
      </c>
      <c r="E104" s="78">
        <v>38</v>
      </c>
      <c r="F104" s="78">
        <v>39</v>
      </c>
      <c r="G104" s="78">
        <v>40</v>
      </c>
    </row>
    <row r="105" spans="1:8" x14ac:dyDescent="0.3">
      <c r="A105" s="120"/>
    </row>
    <row r="106" spans="1:8" x14ac:dyDescent="0.3">
      <c r="A106" s="120"/>
    </row>
    <row r="109" spans="1:8" x14ac:dyDescent="0.3">
      <c r="A109" s="1" t="s">
        <v>219</v>
      </c>
      <c r="B109" s="81" t="s">
        <v>142</v>
      </c>
      <c r="C109" s="39">
        <v>34</v>
      </c>
      <c r="D109" s="39">
        <v>35</v>
      </c>
      <c r="E109" s="39">
        <v>36</v>
      </c>
      <c r="F109" s="39">
        <v>37</v>
      </c>
      <c r="G109" s="39">
        <v>38</v>
      </c>
      <c r="H109" s="39">
        <v>39</v>
      </c>
    </row>
    <row r="110" spans="1:8" x14ac:dyDescent="0.3">
      <c r="A110" s="120" t="s">
        <v>0</v>
      </c>
      <c r="B110" s="4" t="s">
        <v>143</v>
      </c>
      <c r="C110" s="40">
        <v>2</v>
      </c>
      <c r="D110" s="87">
        <v>2.5</v>
      </c>
      <c r="E110" s="40">
        <v>3</v>
      </c>
      <c r="F110" s="40">
        <v>4</v>
      </c>
      <c r="G110" s="40">
        <v>5</v>
      </c>
      <c r="H110" s="40">
        <v>6</v>
      </c>
    </row>
    <row r="111" spans="1:8" x14ac:dyDescent="0.3">
      <c r="A111" s="120"/>
      <c r="B111" s="4" t="s">
        <v>144</v>
      </c>
      <c r="C111" s="40">
        <v>22.5</v>
      </c>
      <c r="D111" s="40">
        <v>23.5</v>
      </c>
      <c r="E111" s="40">
        <v>24</v>
      </c>
      <c r="F111" s="40">
        <v>24.5</v>
      </c>
      <c r="G111" s="40">
        <v>25.5</v>
      </c>
      <c r="H111" s="40">
        <v>26</v>
      </c>
    </row>
    <row r="112" spans="1:8" x14ac:dyDescent="0.3">
      <c r="A112" s="120"/>
    </row>
    <row r="127" spans="1:4" x14ac:dyDescent="0.3">
      <c r="A127" s="1" t="s">
        <v>201</v>
      </c>
      <c r="B127" t="s">
        <v>189</v>
      </c>
      <c r="C127" t="s">
        <v>187</v>
      </c>
      <c r="D127" t="s">
        <v>190</v>
      </c>
    </row>
    <row r="128" spans="1:4" x14ac:dyDescent="0.3">
      <c r="A128" s="120" t="s">
        <v>0</v>
      </c>
      <c r="B128" t="s">
        <v>188</v>
      </c>
      <c r="C128" t="s">
        <v>159</v>
      </c>
      <c r="D128" t="s">
        <v>160</v>
      </c>
    </row>
    <row r="129" spans="1:11" x14ac:dyDescent="0.3">
      <c r="A129" s="120"/>
      <c r="B129" t="s">
        <v>188</v>
      </c>
      <c r="C129" t="s">
        <v>161</v>
      </c>
      <c r="D129" t="s">
        <v>160</v>
      </c>
    </row>
    <row r="130" spans="1:11" x14ac:dyDescent="0.3">
      <c r="A130" s="120"/>
      <c r="B130" t="s">
        <v>188</v>
      </c>
      <c r="C130" t="s">
        <v>162</v>
      </c>
      <c r="D130" t="s">
        <v>163</v>
      </c>
    </row>
    <row r="133" spans="1:11" x14ac:dyDescent="0.3">
      <c r="A133" s="1" t="s">
        <v>202</v>
      </c>
      <c r="B133" t="s">
        <v>191</v>
      </c>
      <c r="C133" t="s">
        <v>187</v>
      </c>
      <c r="D133" t="s">
        <v>190</v>
      </c>
      <c r="E133" t="s">
        <v>192</v>
      </c>
      <c r="F133" t="s">
        <v>193</v>
      </c>
    </row>
    <row r="134" spans="1:11" x14ac:dyDescent="0.3">
      <c r="A134" s="120" t="s">
        <v>0</v>
      </c>
      <c r="B134" t="s">
        <v>188</v>
      </c>
      <c r="C134" t="s">
        <v>159</v>
      </c>
      <c r="D134" t="s">
        <v>160</v>
      </c>
      <c r="E134">
        <v>50</v>
      </c>
      <c r="F134">
        <v>10.6</v>
      </c>
    </row>
    <row r="135" spans="1:11" x14ac:dyDescent="0.3">
      <c r="A135" s="120"/>
      <c r="B135" t="s">
        <v>188</v>
      </c>
      <c r="C135" t="s">
        <v>161</v>
      </c>
      <c r="D135" t="s">
        <v>160</v>
      </c>
      <c r="E135">
        <v>50</v>
      </c>
      <c r="F135">
        <v>10.6</v>
      </c>
    </row>
    <row r="136" spans="1:11" x14ac:dyDescent="0.3">
      <c r="A136" s="120"/>
      <c r="B136" t="s">
        <v>188</v>
      </c>
      <c r="C136" t="s">
        <v>162</v>
      </c>
      <c r="D136" t="s">
        <v>163</v>
      </c>
      <c r="E136">
        <v>50</v>
      </c>
      <c r="F136">
        <v>10.6</v>
      </c>
    </row>
    <row r="138" spans="1:11" x14ac:dyDescent="0.3">
      <c r="A138" s="1" t="s">
        <v>203</v>
      </c>
      <c r="B138" t="s">
        <v>195</v>
      </c>
      <c r="C138" t="s">
        <v>187</v>
      </c>
      <c r="D138">
        <v>35</v>
      </c>
      <c r="E138">
        <v>36</v>
      </c>
      <c r="F138">
        <v>37</v>
      </c>
      <c r="G138">
        <v>38</v>
      </c>
      <c r="H138">
        <v>39</v>
      </c>
      <c r="I138">
        <v>40</v>
      </c>
      <c r="J138" t="s">
        <v>192</v>
      </c>
      <c r="K138" t="s">
        <v>193</v>
      </c>
    </row>
    <row r="139" spans="1:11" x14ac:dyDescent="0.3">
      <c r="A139" s="120" t="s">
        <v>0</v>
      </c>
      <c r="B139" t="s">
        <v>188</v>
      </c>
      <c r="C139" t="s">
        <v>159</v>
      </c>
      <c r="D139">
        <v>1</v>
      </c>
      <c r="E139">
        <v>2</v>
      </c>
      <c r="F139">
        <v>3</v>
      </c>
      <c r="G139">
        <v>3</v>
      </c>
      <c r="H139">
        <v>2</v>
      </c>
      <c r="I139">
        <v>1</v>
      </c>
      <c r="J139">
        <v>50</v>
      </c>
      <c r="K139">
        <v>10.6</v>
      </c>
    </row>
    <row r="140" spans="1:11" x14ac:dyDescent="0.3">
      <c r="A140" s="120"/>
      <c r="B140" t="s">
        <v>188</v>
      </c>
      <c r="C140" t="s">
        <v>161</v>
      </c>
      <c r="D140">
        <v>1</v>
      </c>
      <c r="E140">
        <v>2</v>
      </c>
      <c r="F140">
        <v>3</v>
      </c>
      <c r="G140">
        <v>3</v>
      </c>
      <c r="H140">
        <v>2</v>
      </c>
      <c r="I140">
        <v>1</v>
      </c>
      <c r="J140">
        <v>100</v>
      </c>
      <c r="K140">
        <v>10.6</v>
      </c>
    </row>
    <row r="141" spans="1:11" x14ac:dyDescent="0.3">
      <c r="A141" s="120"/>
      <c r="B141" t="s">
        <v>188</v>
      </c>
      <c r="C141" t="s">
        <v>162</v>
      </c>
      <c r="D141">
        <v>1</v>
      </c>
      <c r="E141">
        <v>2</v>
      </c>
      <c r="F141">
        <v>3</v>
      </c>
      <c r="G141">
        <v>3</v>
      </c>
      <c r="H141">
        <v>2</v>
      </c>
      <c r="I141">
        <v>1</v>
      </c>
      <c r="J141">
        <v>100</v>
      </c>
      <c r="K141">
        <v>10.6</v>
      </c>
    </row>
    <row r="144" spans="1:11" x14ac:dyDescent="0.3">
      <c r="A144" s="1" t="s">
        <v>223</v>
      </c>
    </row>
    <row r="145" spans="1:11" ht="13.75" customHeight="1" x14ac:dyDescent="0.3">
      <c r="A145" s="120" t="s">
        <v>0</v>
      </c>
      <c r="B145" s="197" t="s">
        <v>200</v>
      </c>
      <c r="C145" s="196" t="s">
        <v>206</v>
      </c>
      <c r="D145" s="196"/>
      <c r="E145" s="196"/>
    </row>
    <row r="146" spans="1:11" x14ac:dyDescent="0.3">
      <c r="A146" s="120"/>
      <c r="B146" s="197"/>
      <c r="C146" s="124" t="s">
        <v>176</v>
      </c>
      <c r="D146" s="124" t="s">
        <v>177</v>
      </c>
      <c r="E146" s="124"/>
    </row>
    <row r="147" spans="1:11" x14ac:dyDescent="0.3">
      <c r="A147" s="120"/>
      <c r="B147" s="197"/>
      <c r="C147" s="124"/>
      <c r="D147" s="124"/>
      <c r="E147" s="124"/>
    </row>
    <row r="148" spans="1:11" x14ac:dyDescent="0.3">
      <c r="A148" s="77"/>
      <c r="B148" s="197"/>
      <c r="C148" s="124" t="s">
        <v>197</v>
      </c>
      <c r="D148" s="124" t="s">
        <v>198</v>
      </c>
      <c r="E148" s="124" t="s">
        <v>199</v>
      </c>
    </row>
    <row r="149" spans="1:11" x14ac:dyDescent="0.3">
      <c r="A149" s="77"/>
      <c r="C149" s="124"/>
      <c r="D149" s="124"/>
      <c r="E149" s="124"/>
    </row>
    <row r="150" spans="1:11" x14ac:dyDescent="0.3">
      <c r="A150" s="79"/>
      <c r="C150" s="80"/>
      <c r="D150" s="80"/>
      <c r="E150" s="80"/>
    </row>
    <row r="151" spans="1:11" x14ac:dyDescent="0.3">
      <c r="A151" s="79"/>
    </row>
    <row r="152" spans="1:11" x14ac:dyDescent="0.3">
      <c r="A152" s="79"/>
    </row>
    <row r="153" spans="1:11" x14ac:dyDescent="0.3">
      <c r="A153" s="1" t="s">
        <v>204</v>
      </c>
    </row>
    <row r="154" spans="1:11" x14ac:dyDescent="0.3">
      <c r="A154" s="120" t="s">
        <v>0</v>
      </c>
      <c r="B154" s="124" t="s">
        <v>207</v>
      </c>
      <c r="C154" s="124" t="s">
        <v>187</v>
      </c>
      <c r="D154" s="117" t="s">
        <v>65</v>
      </c>
      <c r="E154" s="117"/>
      <c r="F154" s="117"/>
      <c r="G154" s="117"/>
      <c r="H154" s="117"/>
      <c r="I154" s="117"/>
      <c r="J154" s="124"/>
      <c r="K154" s="124"/>
    </row>
    <row r="155" spans="1:11" x14ac:dyDescent="0.3">
      <c r="A155" s="120"/>
      <c r="B155" s="124"/>
      <c r="C155" s="124"/>
      <c r="D155">
        <v>35</v>
      </c>
      <c r="E155">
        <v>36</v>
      </c>
      <c r="F155">
        <v>37</v>
      </c>
      <c r="G155">
        <v>38</v>
      </c>
      <c r="H155">
        <v>39</v>
      </c>
      <c r="I155">
        <v>40</v>
      </c>
      <c r="J155" s="124"/>
      <c r="K155" s="124"/>
    </row>
    <row r="156" spans="1:11" x14ac:dyDescent="0.3">
      <c r="A156" s="120"/>
    </row>
    <row r="159" spans="1:11" x14ac:dyDescent="0.3">
      <c r="A159" s="1" t="s">
        <v>221</v>
      </c>
    </row>
    <row r="160" spans="1:11" x14ac:dyDescent="0.3">
      <c r="A160" s="120" t="s">
        <v>0</v>
      </c>
      <c r="B160" s="124" t="s">
        <v>222</v>
      </c>
      <c r="C160" s="124" t="s">
        <v>187</v>
      </c>
      <c r="D160" s="117" t="s">
        <v>65</v>
      </c>
      <c r="E160" s="117"/>
      <c r="F160" s="117"/>
      <c r="G160" s="117"/>
      <c r="H160" s="117"/>
      <c r="I160" s="117"/>
      <c r="J160" s="124" t="s">
        <v>168</v>
      </c>
      <c r="K160" s="124" t="s">
        <v>177</v>
      </c>
    </row>
    <row r="161" spans="1:21" x14ac:dyDescent="0.3">
      <c r="A161" s="120"/>
      <c r="B161" s="124"/>
      <c r="C161" s="124"/>
      <c r="D161">
        <v>35</v>
      </c>
      <c r="E161">
        <v>36</v>
      </c>
      <c r="F161">
        <v>37</v>
      </c>
      <c r="G161">
        <v>38</v>
      </c>
      <c r="H161">
        <v>39</v>
      </c>
      <c r="I161">
        <v>40</v>
      </c>
      <c r="J161" s="124"/>
      <c r="K161" s="124"/>
    </row>
    <row r="162" spans="1:21" x14ac:dyDescent="0.3">
      <c r="A162" s="120"/>
    </row>
    <row r="167" spans="1:21" x14ac:dyDescent="0.3">
      <c r="B167" s="124" t="s">
        <v>196</v>
      </c>
      <c r="C167" s="124" t="s">
        <v>187</v>
      </c>
      <c r="E167" s="78"/>
      <c r="F167" s="78"/>
      <c r="G167" s="78" t="s">
        <v>65</v>
      </c>
      <c r="H167" s="78"/>
      <c r="I167" s="78"/>
      <c r="J167" s="124" t="s">
        <v>192</v>
      </c>
      <c r="K167" s="124" t="s">
        <v>193</v>
      </c>
    </row>
    <row r="168" spans="1:21" x14ac:dyDescent="0.3">
      <c r="A168" s="1" t="s">
        <v>205</v>
      </c>
      <c r="B168" s="124"/>
      <c r="C168" s="124"/>
      <c r="D168">
        <v>35</v>
      </c>
      <c r="E168">
        <v>36</v>
      </c>
      <c r="F168">
        <v>37</v>
      </c>
      <c r="G168">
        <v>38</v>
      </c>
      <c r="H168">
        <v>39</v>
      </c>
      <c r="I168">
        <v>40</v>
      </c>
      <c r="J168" s="124"/>
      <c r="K168" s="124"/>
    </row>
    <row r="169" spans="1:21" x14ac:dyDescent="0.3">
      <c r="A169" s="120" t="s">
        <v>0</v>
      </c>
      <c r="B169" t="s">
        <v>188</v>
      </c>
      <c r="C169" t="s">
        <v>159</v>
      </c>
      <c r="D169">
        <v>1</v>
      </c>
      <c r="E169">
        <v>2</v>
      </c>
      <c r="F169">
        <v>3</v>
      </c>
      <c r="G169">
        <v>3</v>
      </c>
      <c r="H169">
        <v>2</v>
      </c>
      <c r="I169">
        <v>1</v>
      </c>
      <c r="J169">
        <v>50</v>
      </c>
      <c r="K169">
        <v>10.6</v>
      </c>
    </row>
    <row r="170" spans="1:21" x14ac:dyDescent="0.3">
      <c r="A170" s="120"/>
      <c r="B170" t="s">
        <v>188</v>
      </c>
      <c r="C170" t="s">
        <v>161</v>
      </c>
      <c r="D170">
        <v>1</v>
      </c>
      <c r="E170">
        <v>2</v>
      </c>
      <c r="F170">
        <v>3</v>
      </c>
      <c r="G170">
        <v>3</v>
      </c>
      <c r="H170">
        <v>2</v>
      </c>
      <c r="I170">
        <v>1</v>
      </c>
      <c r="J170">
        <v>100</v>
      </c>
      <c r="K170">
        <v>10.6</v>
      </c>
    </row>
    <row r="171" spans="1:21" x14ac:dyDescent="0.3">
      <c r="A171" s="120"/>
      <c r="B171" t="s">
        <v>188</v>
      </c>
      <c r="C171" t="s">
        <v>162</v>
      </c>
      <c r="D171">
        <v>1</v>
      </c>
      <c r="E171">
        <v>2</v>
      </c>
      <c r="F171">
        <v>3</v>
      </c>
      <c r="G171">
        <v>3</v>
      </c>
      <c r="H171">
        <v>2</v>
      </c>
      <c r="I171">
        <v>1</v>
      </c>
      <c r="J171">
        <v>100</v>
      </c>
      <c r="K171">
        <v>10.6</v>
      </c>
    </row>
    <row r="172" spans="1:21" ht="14.5" thickBot="1" x14ac:dyDescent="0.35"/>
    <row r="173" spans="1:21" ht="15" x14ac:dyDescent="0.3">
      <c r="A173" s="1" t="s">
        <v>186</v>
      </c>
      <c r="B173" s="173" t="s">
        <v>164</v>
      </c>
      <c r="C173" s="175" t="s">
        <v>165</v>
      </c>
      <c r="D173" s="177" t="s">
        <v>166</v>
      </c>
      <c r="E173" s="179" t="s">
        <v>167</v>
      </c>
      <c r="F173" s="179" t="s">
        <v>168</v>
      </c>
      <c r="G173" s="181"/>
      <c r="H173" s="179" t="s">
        <v>169</v>
      </c>
      <c r="I173" s="182">
        <v>19</v>
      </c>
      <c r="J173" s="182">
        <v>20</v>
      </c>
      <c r="K173" s="182">
        <v>21</v>
      </c>
      <c r="L173" s="182">
        <v>22</v>
      </c>
      <c r="M173" s="182">
        <v>23</v>
      </c>
      <c r="N173" s="182"/>
      <c r="O173" s="179" t="s">
        <v>170</v>
      </c>
      <c r="P173" s="179" t="s">
        <v>171</v>
      </c>
      <c r="Q173" s="179" t="s">
        <v>172</v>
      </c>
      <c r="R173" s="179" t="s">
        <v>173</v>
      </c>
      <c r="S173" s="179" t="s">
        <v>174</v>
      </c>
      <c r="T173" s="184" t="s">
        <v>175</v>
      </c>
      <c r="U173" s="185"/>
    </row>
    <row r="174" spans="1:21" ht="15" x14ac:dyDescent="0.3">
      <c r="A174" s="120" t="s">
        <v>0</v>
      </c>
      <c r="B174" s="174"/>
      <c r="C174" s="176"/>
      <c r="D174" s="178"/>
      <c r="E174" s="180"/>
      <c r="F174" s="60"/>
      <c r="G174" s="60" t="s">
        <v>177</v>
      </c>
      <c r="H174" s="180"/>
      <c r="I174" s="180"/>
      <c r="J174" s="180"/>
      <c r="K174" s="180"/>
      <c r="L174" s="180"/>
      <c r="M174" s="180"/>
      <c r="N174" s="180"/>
      <c r="O174" s="183"/>
      <c r="P174" s="180"/>
      <c r="Q174" s="180"/>
      <c r="R174" s="180"/>
      <c r="S174" s="180"/>
      <c r="T174" s="186"/>
      <c r="U174" s="187"/>
    </row>
    <row r="175" spans="1:21" ht="28" x14ac:dyDescent="0.3">
      <c r="A175" s="120"/>
      <c r="B175" s="61" t="s">
        <v>178</v>
      </c>
      <c r="C175" s="62" t="s">
        <v>178</v>
      </c>
      <c r="D175" s="62"/>
      <c r="E175" s="63" t="s">
        <v>179</v>
      </c>
      <c r="F175" s="64" t="s">
        <v>180</v>
      </c>
      <c r="G175" s="64" t="s">
        <v>181</v>
      </c>
      <c r="H175" s="64"/>
      <c r="I175" s="64">
        <v>2</v>
      </c>
      <c r="J175" s="64">
        <v>2</v>
      </c>
      <c r="K175" s="64">
        <v>2</v>
      </c>
      <c r="L175" s="64">
        <v>3</v>
      </c>
      <c r="M175" s="64">
        <v>3</v>
      </c>
      <c r="N175" s="64"/>
      <c r="O175" s="65">
        <v>12</v>
      </c>
      <c r="P175" s="65">
        <v>60</v>
      </c>
      <c r="Q175" s="62">
        <f t="shared" ref="Q175:Q178" si="3">P175*O175</f>
        <v>720</v>
      </c>
      <c r="R175" s="66"/>
      <c r="S175" s="67">
        <f t="shared" ref="S175:S178" si="4">R175*Q175</f>
        <v>0</v>
      </c>
      <c r="T175" s="169"/>
      <c r="U175" s="170"/>
    </row>
    <row r="176" spans="1:21" ht="42" x14ac:dyDescent="0.3">
      <c r="A176" s="120"/>
      <c r="B176" s="61" t="s">
        <v>178</v>
      </c>
      <c r="C176" s="62" t="s">
        <v>178</v>
      </c>
      <c r="D176" s="62"/>
      <c r="E176" s="63" t="s">
        <v>182</v>
      </c>
      <c r="F176" s="64" t="s">
        <v>180</v>
      </c>
      <c r="G176" s="64" t="s">
        <v>181</v>
      </c>
      <c r="H176" s="64"/>
      <c r="I176" s="64">
        <v>2</v>
      </c>
      <c r="J176" s="64">
        <v>2</v>
      </c>
      <c r="K176" s="64">
        <v>2</v>
      </c>
      <c r="L176" s="64">
        <v>3</v>
      </c>
      <c r="M176" s="64">
        <v>3</v>
      </c>
      <c r="N176" s="64"/>
      <c r="O176" s="65">
        <v>12</v>
      </c>
      <c r="P176" s="65">
        <v>300</v>
      </c>
      <c r="Q176" s="62">
        <f t="shared" si="3"/>
        <v>3600</v>
      </c>
      <c r="R176" s="66"/>
      <c r="S176" s="67">
        <f t="shared" si="4"/>
        <v>0</v>
      </c>
      <c r="T176" s="68"/>
      <c r="U176" s="69"/>
    </row>
    <row r="177" spans="1:21" ht="28" x14ac:dyDescent="0.3">
      <c r="A177" s="59"/>
      <c r="B177" s="61" t="s">
        <v>178</v>
      </c>
      <c r="C177" s="62" t="s">
        <v>178</v>
      </c>
      <c r="D177" s="62"/>
      <c r="E177" s="63" t="s">
        <v>183</v>
      </c>
      <c r="F177" s="64" t="s">
        <v>180</v>
      </c>
      <c r="G177" s="64" t="s">
        <v>181</v>
      </c>
      <c r="H177" s="64"/>
      <c r="I177" s="64">
        <v>2</v>
      </c>
      <c r="J177" s="64">
        <v>2</v>
      </c>
      <c r="K177" s="64">
        <v>2</v>
      </c>
      <c r="L177" s="64">
        <v>3</v>
      </c>
      <c r="M177" s="64">
        <v>3</v>
      </c>
      <c r="N177" s="64"/>
      <c r="O177" s="65">
        <v>12</v>
      </c>
      <c r="P177" s="65">
        <v>150</v>
      </c>
      <c r="Q177" s="62">
        <f t="shared" si="3"/>
        <v>1800</v>
      </c>
      <c r="R177" s="66"/>
      <c r="S177" s="67">
        <f t="shared" si="4"/>
        <v>0</v>
      </c>
      <c r="T177" s="68"/>
      <c r="U177" s="69"/>
    </row>
    <row r="178" spans="1:21" ht="28" x14ac:dyDescent="0.3">
      <c r="A178" s="59"/>
      <c r="B178" s="61" t="s">
        <v>178</v>
      </c>
      <c r="C178" s="62" t="s">
        <v>178</v>
      </c>
      <c r="D178" s="62"/>
      <c r="E178" s="63" t="s">
        <v>184</v>
      </c>
      <c r="F178" s="64" t="s">
        <v>180</v>
      </c>
      <c r="G178" s="64" t="s">
        <v>181</v>
      </c>
      <c r="H178" s="64"/>
      <c r="I178" s="64">
        <v>2</v>
      </c>
      <c r="J178" s="64">
        <v>2</v>
      </c>
      <c r="K178" s="64">
        <v>2</v>
      </c>
      <c r="L178" s="64">
        <v>3</v>
      </c>
      <c r="M178" s="64">
        <v>3</v>
      </c>
      <c r="N178" s="64"/>
      <c r="O178" s="65">
        <v>12</v>
      </c>
      <c r="P178" s="65">
        <v>90</v>
      </c>
      <c r="Q178" s="62">
        <f t="shared" si="3"/>
        <v>1080</v>
      </c>
      <c r="R178" s="66"/>
      <c r="S178" s="67">
        <f t="shared" si="4"/>
        <v>0</v>
      </c>
      <c r="T178" s="68"/>
      <c r="U178" s="69"/>
    </row>
    <row r="179" spans="1:21" ht="15" x14ac:dyDescent="0.3">
      <c r="A179" s="59"/>
      <c r="B179" s="70" t="s">
        <v>185</v>
      </c>
      <c r="C179" s="71"/>
      <c r="D179" s="71"/>
      <c r="E179" s="72"/>
      <c r="F179" s="72"/>
      <c r="G179" s="72"/>
      <c r="H179" s="72"/>
      <c r="I179" s="72"/>
      <c r="J179" s="72"/>
      <c r="K179" s="72"/>
      <c r="L179" s="72"/>
      <c r="M179" s="72"/>
      <c r="N179" s="73"/>
      <c r="O179" s="74"/>
      <c r="P179" s="74">
        <f t="shared" ref="P179:S179" si="5">SUM(P175:P178)</f>
        <v>600</v>
      </c>
      <c r="Q179" s="71">
        <f t="shared" si="5"/>
        <v>7200</v>
      </c>
      <c r="R179" s="75"/>
      <c r="S179" s="76">
        <f t="shared" si="5"/>
        <v>0</v>
      </c>
      <c r="T179" s="171"/>
      <c r="U179" s="172"/>
    </row>
    <row r="180" spans="1:21" x14ac:dyDescent="0.3">
      <c r="A180" s="59"/>
    </row>
    <row r="181" spans="1:21" x14ac:dyDescent="0.3">
      <c r="A181" s="59"/>
    </row>
    <row r="212" spans="2:10" x14ac:dyDescent="0.3">
      <c r="D212" s="96" t="s">
        <v>142</v>
      </c>
      <c r="E212" s="39">
        <v>34</v>
      </c>
      <c r="F212" s="39">
        <v>35</v>
      </c>
      <c r="G212" s="39">
        <v>36</v>
      </c>
      <c r="H212" s="39">
        <v>37</v>
      </c>
      <c r="I212" s="39">
        <v>38</v>
      </c>
      <c r="J212" s="39">
        <v>39</v>
      </c>
    </row>
    <row r="213" spans="2:10" x14ac:dyDescent="0.3">
      <c r="D213" s="4" t="s">
        <v>143</v>
      </c>
      <c r="E213" s="40">
        <v>2</v>
      </c>
      <c r="F213" s="41">
        <v>2.5</v>
      </c>
      <c r="G213" s="40">
        <v>3</v>
      </c>
      <c r="H213" s="40">
        <v>4</v>
      </c>
      <c r="I213" s="40">
        <v>5</v>
      </c>
      <c r="J213" s="40">
        <v>6</v>
      </c>
    </row>
    <row r="214" spans="2:10" x14ac:dyDescent="0.3">
      <c r="D214" s="4" t="s">
        <v>144</v>
      </c>
      <c r="E214" s="40">
        <v>22.5</v>
      </c>
      <c r="F214" s="40">
        <v>23.5</v>
      </c>
      <c r="G214" s="40">
        <v>24</v>
      </c>
      <c r="H214" s="40">
        <v>24.5</v>
      </c>
      <c r="I214" s="40">
        <v>25.5</v>
      </c>
      <c r="J214" s="40">
        <v>26</v>
      </c>
    </row>
    <row r="215" spans="2:10" ht="15.5" x14ac:dyDescent="0.3">
      <c r="D215" t="s">
        <v>231</v>
      </c>
      <c r="E215" s="43">
        <f>2*148</f>
        <v>296</v>
      </c>
      <c r="F215" s="43">
        <f>2*538</f>
        <v>1076</v>
      </c>
      <c r="G215" s="43">
        <f>2*792</f>
        <v>1584</v>
      </c>
      <c r="H215" s="43">
        <f>2*782</f>
        <v>1564</v>
      </c>
      <c r="I215" s="43">
        <f>2*602</f>
        <v>1204</v>
      </c>
      <c r="J215" s="43">
        <f>2*174</f>
        <v>348</v>
      </c>
    </row>
    <row r="216" spans="2:10" ht="15.5" x14ac:dyDescent="0.3">
      <c r="D216" t="s">
        <v>232</v>
      </c>
      <c r="E216" s="43">
        <f>2*90</f>
        <v>180</v>
      </c>
      <c r="F216" s="43">
        <f>2*420</f>
        <v>840</v>
      </c>
      <c r="G216" s="43">
        <f>2*675</f>
        <v>1350</v>
      </c>
      <c r="H216" s="43">
        <f>2*725</f>
        <v>1450</v>
      </c>
      <c r="I216" s="43">
        <f>2*665</f>
        <v>1330</v>
      </c>
      <c r="J216" s="43">
        <f>2*195</f>
        <v>390</v>
      </c>
    </row>
    <row r="217" spans="2:10" ht="15.5" x14ac:dyDescent="0.3">
      <c r="D217" t="s">
        <v>233</v>
      </c>
      <c r="E217" s="43">
        <f>2*30</f>
        <v>60</v>
      </c>
      <c r="F217" s="43">
        <f>2*130</f>
        <v>260</v>
      </c>
      <c r="G217" s="43">
        <f>2*140</f>
        <v>280</v>
      </c>
      <c r="H217" s="43">
        <f>2*170</f>
        <v>340</v>
      </c>
      <c r="I217" s="43">
        <f>2*60</f>
        <v>120</v>
      </c>
      <c r="J217" s="43">
        <f>2*70</f>
        <v>140</v>
      </c>
    </row>
    <row r="218" spans="2:10" ht="15.5" x14ac:dyDescent="0.3">
      <c r="D218" t="s">
        <v>234</v>
      </c>
      <c r="E218" s="43">
        <f>2*130</f>
        <v>260</v>
      </c>
      <c r="F218" s="43">
        <f>2*420</f>
        <v>840</v>
      </c>
      <c r="G218" s="43">
        <f>2*660</f>
        <v>1320</v>
      </c>
      <c r="H218" s="43">
        <f>2*650</f>
        <v>1300</v>
      </c>
      <c r="I218" s="43">
        <f>2*410</f>
        <v>820</v>
      </c>
      <c r="J218" s="43">
        <f>2*230</f>
        <v>460</v>
      </c>
    </row>
    <row r="219" spans="2:10" ht="15.5" x14ac:dyDescent="0.3">
      <c r="D219" t="s">
        <v>235</v>
      </c>
      <c r="E219" s="43">
        <f>2*130</f>
        <v>260</v>
      </c>
      <c r="F219" s="43">
        <f>2*350</f>
        <v>700</v>
      </c>
      <c r="G219" s="43">
        <f>2*660</f>
        <v>1320</v>
      </c>
      <c r="H219" s="43">
        <f>2*780</f>
        <v>1560</v>
      </c>
      <c r="I219" s="43">
        <f>2*500</f>
        <v>1000</v>
      </c>
      <c r="J219" s="43" t="s">
        <v>153</v>
      </c>
    </row>
    <row r="223" spans="2:10" x14ac:dyDescent="0.3">
      <c r="B223" s="101"/>
      <c r="C223" s="4" t="s">
        <v>236</v>
      </c>
      <c r="D223" s="4" t="s">
        <v>139</v>
      </c>
      <c r="E223" s="188" t="s">
        <v>237</v>
      </c>
      <c r="F223" s="188"/>
      <c r="G223" s="188"/>
      <c r="H223" s="188"/>
      <c r="I223" s="188"/>
      <c r="J223" s="188"/>
    </row>
    <row r="224" spans="2:10" x14ac:dyDescent="0.3">
      <c r="B224" s="101"/>
      <c r="C224" s="103"/>
      <c r="D224" s="40" t="s">
        <v>238</v>
      </c>
      <c r="E224" s="40">
        <v>39</v>
      </c>
      <c r="F224" s="40">
        <v>40</v>
      </c>
      <c r="G224" s="40">
        <v>41</v>
      </c>
      <c r="H224" s="40">
        <v>42</v>
      </c>
      <c r="I224" s="40">
        <v>43</v>
      </c>
      <c r="J224" s="40">
        <v>44</v>
      </c>
    </row>
    <row r="225" spans="2:10" x14ac:dyDescent="0.3">
      <c r="B225" s="189">
        <v>68637</v>
      </c>
      <c r="C225" s="191" t="s">
        <v>239</v>
      </c>
      <c r="D225" s="104">
        <v>8891042</v>
      </c>
      <c r="E225" s="4">
        <v>75</v>
      </c>
      <c r="F225" s="4">
        <v>100</v>
      </c>
      <c r="G225" s="4">
        <v>100</v>
      </c>
      <c r="H225" s="4">
        <v>100</v>
      </c>
      <c r="I225" s="4">
        <v>50</v>
      </c>
      <c r="J225" s="4">
        <v>25</v>
      </c>
    </row>
    <row r="226" spans="2:10" x14ac:dyDescent="0.3">
      <c r="B226" s="190"/>
      <c r="C226" s="192"/>
    </row>
    <row r="227" spans="2:10" x14ac:dyDescent="0.3">
      <c r="B227" s="188">
        <v>68634</v>
      </c>
      <c r="C227" s="193" t="s">
        <v>240</v>
      </c>
      <c r="D227" s="105" t="s">
        <v>238</v>
      </c>
      <c r="E227" s="40">
        <v>35</v>
      </c>
      <c r="F227" s="40">
        <v>36</v>
      </c>
      <c r="G227" s="40">
        <v>37</v>
      </c>
      <c r="H227" s="40">
        <v>38</v>
      </c>
      <c r="I227" s="40">
        <v>39</v>
      </c>
      <c r="J227" s="40">
        <v>40</v>
      </c>
    </row>
    <row r="228" spans="2:10" x14ac:dyDescent="0.3">
      <c r="B228" s="188"/>
      <c r="C228" s="194"/>
      <c r="D228" s="106">
        <v>5896652</v>
      </c>
      <c r="E228" s="4">
        <v>40</v>
      </c>
      <c r="F228" s="4">
        <v>120</v>
      </c>
      <c r="G228" s="4">
        <v>200</v>
      </c>
      <c r="H228" s="4">
        <v>200</v>
      </c>
      <c r="I228" s="4">
        <v>120</v>
      </c>
      <c r="J228" s="4">
        <v>40</v>
      </c>
    </row>
    <row r="229" spans="2:10" x14ac:dyDescent="0.3">
      <c r="B229" s="188"/>
      <c r="C229" s="195"/>
      <c r="D229" s="106">
        <v>5891652</v>
      </c>
      <c r="E229" s="4">
        <v>30</v>
      </c>
      <c r="F229" s="4">
        <v>90</v>
      </c>
      <c r="G229" s="4">
        <v>150</v>
      </c>
      <c r="H229" s="4">
        <v>150</v>
      </c>
      <c r="I229" s="4">
        <v>90</v>
      </c>
      <c r="J229" s="4">
        <v>30</v>
      </c>
    </row>
    <row r="230" spans="2:10" x14ac:dyDescent="0.3">
      <c r="D230" s="106">
        <v>5895652</v>
      </c>
      <c r="E230" s="4">
        <v>17</v>
      </c>
      <c r="F230" s="4">
        <v>51</v>
      </c>
      <c r="G230" s="4">
        <v>85</v>
      </c>
      <c r="H230" s="4">
        <v>85</v>
      </c>
      <c r="I230" s="4">
        <v>51</v>
      </c>
      <c r="J230" s="4">
        <v>17</v>
      </c>
    </row>
  </sheetData>
  <mergeCells count="150">
    <mergeCell ref="E223:J223"/>
    <mergeCell ref="B225:B226"/>
    <mergeCell ref="C225:C226"/>
    <mergeCell ref="B227:B229"/>
    <mergeCell ref="C227:C229"/>
    <mergeCell ref="G98:G99"/>
    <mergeCell ref="A154:A156"/>
    <mergeCell ref="D146:E147"/>
    <mergeCell ref="C145:E145"/>
    <mergeCell ref="A145:A147"/>
    <mergeCell ref="B145:B148"/>
    <mergeCell ref="C148:C149"/>
    <mergeCell ref="D148:D149"/>
    <mergeCell ref="E148:E149"/>
    <mergeCell ref="A169:A171"/>
    <mergeCell ref="B167:B168"/>
    <mergeCell ref="C167:C168"/>
    <mergeCell ref="J167:J168"/>
    <mergeCell ref="K167:K168"/>
    <mergeCell ref="B154:B155"/>
    <mergeCell ref="C154:C155"/>
    <mergeCell ref="J154:J155"/>
    <mergeCell ref="K154:K155"/>
    <mergeCell ref="D154:I154"/>
    <mergeCell ref="A160:A162"/>
    <mergeCell ref="B160:B161"/>
    <mergeCell ref="C160:C161"/>
    <mergeCell ref="D160:I160"/>
    <mergeCell ref="J160:J161"/>
    <mergeCell ref="K160:K161"/>
    <mergeCell ref="R63:R64"/>
    <mergeCell ref="G39:G40"/>
    <mergeCell ref="C39:C40"/>
    <mergeCell ref="T175:U175"/>
    <mergeCell ref="T179:U179"/>
    <mergeCell ref="A174:A176"/>
    <mergeCell ref="B173:B174"/>
    <mergeCell ref="C173:C174"/>
    <mergeCell ref="D173:D174"/>
    <mergeCell ref="E173:E174"/>
    <mergeCell ref="F173:G173"/>
    <mergeCell ref="H173:H174"/>
    <mergeCell ref="I173:I174"/>
    <mergeCell ref="J173:J174"/>
    <mergeCell ref="K173:K174"/>
    <mergeCell ref="L173:L174"/>
    <mergeCell ref="M173:M174"/>
    <mergeCell ref="N173:N174"/>
    <mergeCell ref="O173:O174"/>
    <mergeCell ref="P173:P174"/>
    <mergeCell ref="Q173:Q174"/>
    <mergeCell ref="R173:R174"/>
    <mergeCell ref="S173:S174"/>
    <mergeCell ref="T173:U174"/>
    <mergeCell ref="U63:U64"/>
    <mergeCell ref="C65:C71"/>
    <mergeCell ref="E65:E71"/>
    <mergeCell ref="F65:F71"/>
    <mergeCell ref="G65:G71"/>
    <mergeCell ref="H65:H71"/>
    <mergeCell ref="I65:I71"/>
    <mergeCell ref="J65:J71"/>
    <mergeCell ref="K65:K66"/>
    <mergeCell ref="P65:P71"/>
    <mergeCell ref="R65:R71"/>
    <mergeCell ref="K67:K71"/>
    <mergeCell ref="Q67:Q71"/>
    <mergeCell ref="S63:S64"/>
    <mergeCell ref="O63:O64"/>
    <mergeCell ref="N63:N64"/>
    <mergeCell ref="M63:M64"/>
    <mergeCell ref="L63:L64"/>
    <mergeCell ref="K63:K64"/>
    <mergeCell ref="J63:J64"/>
    <mergeCell ref="I63:I64"/>
    <mergeCell ref="H63:H64"/>
    <mergeCell ref="G63:G64"/>
    <mergeCell ref="F63:F64"/>
    <mergeCell ref="AB39:AB40"/>
    <mergeCell ref="AC39:AC40"/>
    <mergeCell ref="C41:C47"/>
    <mergeCell ref="E41:E47"/>
    <mergeCell ref="F41:F47"/>
    <mergeCell ref="G41:G47"/>
    <mergeCell ref="H41:H47"/>
    <mergeCell ref="I41:I47"/>
    <mergeCell ref="J41:J47"/>
    <mergeCell ref="X41:X47"/>
    <mergeCell ref="Z41:Z47"/>
    <mergeCell ref="K41:K42"/>
    <mergeCell ref="K43:K47"/>
    <mergeCell ref="AA39:AA40"/>
    <mergeCell ref="Y43:Y47"/>
    <mergeCell ref="V39:V40"/>
    <mergeCell ref="W39:W40"/>
    <mergeCell ref="X39:X40"/>
    <mergeCell ref="Y39:Y40"/>
    <mergeCell ref="Z39:Z40"/>
    <mergeCell ref="J39:J40"/>
    <mergeCell ref="K39:K40"/>
    <mergeCell ref="T39:T40"/>
    <mergeCell ref="U39:U40"/>
    <mergeCell ref="J2:J3"/>
    <mergeCell ref="B2:I2"/>
    <mergeCell ref="A134:A136"/>
    <mergeCell ref="A22:A32"/>
    <mergeCell ref="B84:B85"/>
    <mergeCell ref="D84:D85"/>
    <mergeCell ref="A78:A85"/>
    <mergeCell ref="B78:B80"/>
    <mergeCell ref="C78:C80"/>
    <mergeCell ref="D78:D80"/>
    <mergeCell ref="B81:B82"/>
    <mergeCell ref="D81:D82"/>
    <mergeCell ref="B49:T49"/>
    <mergeCell ref="A39:A49"/>
    <mergeCell ref="C22:C23"/>
    <mergeCell ref="P63:P64"/>
    <mergeCell ref="Q63:Q64"/>
    <mergeCell ref="D22:D23"/>
    <mergeCell ref="B39:B40"/>
    <mergeCell ref="B22:B23"/>
    <mergeCell ref="T63:T64"/>
    <mergeCell ref="B32:T32"/>
    <mergeCell ref="H39:H40"/>
    <mergeCell ref="I39:I40"/>
    <mergeCell ref="A2:A3"/>
    <mergeCell ref="B8:I8"/>
    <mergeCell ref="A8:A16"/>
    <mergeCell ref="C146:C147"/>
    <mergeCell ref="D39:D40"/>
    <mergeCell ref="E39:E40"/>
    <mergeCell ref="F39:F40"/>
    <mergeCell ref="A128:A130"/>
    <mergeCell ref="E63:E64"/>
    <mergeCell ref="D63:D64"/>
    <mergeCell ref="A63:A73"/>
    <mergeCell ref="C63:C64"/>
    <mergeCell ref="B63:B64"/>
    <mergeCell ref="A139:A141"/>
    <mergeCell ref="A89:A91"/>
    <mergeCell ref="A94:A96"/>
    <mergeCell ref="A99:A101"/>
    <mergeCell ref="A104:A106"/>
    <mergeCell ref="A110:A112"/>
    <mergeCell ref="B98:B99"/>
    <mergeCell ref="C98:C99"/>
    <mergeCell ref="D98:D99"/>
    <mergeCell ref="E98:E99"/>
    <mergeCell ref="F98:F99"/>
  </mergeCells>
  <phoneticPr fontId="3" type="noConversion"/>
  <pageMargins left="0.7" right="0.7" top="0.75" bottom="0.75" header="0.3" footer="0.3"/>
  <pageSetup paperSize="136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086F-A3A9-41F8-8F13-28250F5FE10C}">
  <sheetPr codeName="Sheet4"/>
  <dimension ref="A1:L45"/>
  <sheetViews>
    <sheetView workbookViewId="0">
      <selection activeCell="B22" sqref="B22"/>
    </sheetView>
  </sheetViews>
  <sheetFormatPr defaultRowHeight="14" x14ac:dyDescent="0.3"/>
  <cols>
    <col min="2" max="3" width="34.58203125" customWidth="1"/>
    <col min="4" max="4" width="16.4140625" customWidth="1"/>
    <col min="5" max="5" width="21.9140625" customWidth="1"/>
    <col min="6" max="6" width="11.9140625" customWidth="1"/>
    <col min="7" max="7" width="20.75" customWidth="1"/>
  </cols>
  <sheetData>
    <row r="1" spans="1:12" x14ac:dyDescent="0.3">
      <c r="A1" s="1" t="s">
        <v>246</v>
      </c>
    </row>
    <row r="2" spans="1:12" x14ac:dyDescent="0.3">
      <c r="A2" s="120" t="s">
        <v>0</v>
      </c>
      <c r="B2" s="91" t="s">
        <v>244</v>
      </c>
      <c r="C2" s="91"/>
      <c r="D2" s="92" t="s">
        <v>225</v>
      </c>
      <c r="E2" s="93" t="s">
        <v>227</v>
      </c>
      <c r="F2" s="90"/>
      <c r="G2" s="94"/>
      <c r="H2" s="199" t="s">
        <v>224</v>
      </c>
      <c r="I2" s="199"/>
      <c r="J2" s="199"/>
      <c r="K2" s="199"/>
      <c r="L2" s="198" t="s">
        <v>229</v>
      </c>
    </row>
    <row r="3" spans="1:12" x14ac:dyDescent="0.3">
      <c r="A3" s="120"/>
      <c r="B3" s="90"/>
      <c r="C3" s="99"/>
      <c r="D3" s="92" t="s">
        <v>226</v>
      </c>
      <c r="G3" s="95"/>
      <c r="H3" s="198" t="s">
        <v>176</v>
      </c>
      <c r="I3" s="202" t="s">
        <v>177</v>
      </c>
      <c r="J3" s="202"/>
      <c r="K3" s="202"/>
      <c r="L3" s="198"/>
    </row>
    <row r="4" spans="1:12" x14ac:dyDescent="0.3">
      <c r="A4" s="120"/>
      <c r="B4" s="90"/>
      <c r="C4" s="99"/>
      <c r="D4" s="90"/>
      <c r="E4" s="90"/>
      <c r="F4" s="90"/>
      <c r="G4" s="94"/>
      <c r="H4" s="198"/>
      <c r="I4" s="202"/>
      <c r="J4" s="202"/>
      <c r="K4" s="202"/>
      <c r="L4" s="198"/>
    </row>
    <row r="5" spans="1:12" x14ac:dyDescent="0.3">
      <c r="A5" s="77"/>
      <c r="B5" s="90"/>
      <c r="C5" s="99"/>
      <c r="D5" s="90"/>
      <c r="E5" s="90"/>
      <c r="F5" s="90"/>
      <c r="G5" s="94"/>
      <c r="H5" s="198" t="s">
        <v>197</v>
      </c>
      <c r="I5" s="198" t="s">
        <v>198</v>
      </c>
      <c r="J5" s="200" t="s">
        <v>199</v>
      </c>
      <c r="K5" s="200"/>
      <c r="L5" s="198"/>
    </row>
    <row r="6" spans="1:12" x14ac:dyDescent="0.3">
      <c r="A6" s="77"/>
      <c r="E6" s="201" t="s">
        <v>228</v>
      </c>
      <c r="F6" s="201"/>
      <c r="G6" s="94"/>
      <c r="H6" s="198"/>
      <c r="I6" s="198"/>
      <c r="J6" s="200"/>
      <c r="K6" s="200"/>
      <c r="L6" s="198"/>
    </row>
    <row r="8" spans="1:12" x14ac:dyDescent="0.3">
      <c r="A8" s="1" t="s">
        <v>245</v>
      </c>
    </row>
    <row r="9" spans="1:12" ht="15.65" customHeight="1" x14ac:dyDescent="0.3">
      <c r="A9" s="120" t="s">
        <v>0</v>
      </c>
      <c r="B9" s="203" t="s">
        <v>243</v>
      </c>
      <c r="C9" s="204"/>
      <c r="D9" s="127" t="s">
        <v>83</v>
      </c>
      <c r="E9" s="125" t="s">
        <v>81</v>
      </c>
      <c r="F9" s="127" t="s">
        <v>88</v>
      </c>
      <c r="G9" s="144" t="s">
        <v>93</v>
      </c>
      <c r="H9" s="148" t="s">
        <v>95</v>
      </c>
    </row>
    <row r="10" spans="1:12" x14ac:dyDescent="0.3">
      <c r="A10" s="120"/>
      <c r="B10" s="205"/>
      <c r="C10" s="206"/>
      <c r="D10" s="128"/>
      <c r="E10" s="126"/>
      <c r="F10" s="128"/>
      <c r="G10" s="145"/>
      <c r="H10" s="149"/>
    </row>
    <row r="11" spans="1:12" x14ac:dyDescent="0.3">
      <c r="A11" s="120"/>
      <c r="D11" s="155" t="s">
        <v>98</v>
      </c>
      <c r="E11" s="36">
        <v>532325</v>
      </c>
      <c r="F11" s="155" t="s">
        <v>125</v>
      </c>
      <c r="G11" s="11" t="s">
        <v>103</v>
      </c>
      <c r="H11" s="12"/>
    </row>
    <row r="12" spans="1:12" x14ac:dyDescent="0.3">
      <c r="A12" s="120"/>
      <c r="B12" s="47"/>
      <c r="C12" s="109"/>
      <c r="D12" s="156"/>
      <c r="E12" s="48">
        <v>532326</v>
      </c>
      <c r="F12" s="156"/>
      <c r="G12" s="53" t="s">
        <v>105</v>
      </c>
      <c r="H12" s="54"/>
    </row>
    <row r="13" spans="1:12" x14ac:dyDescent="0.3">
      <c r="A13" s="120"/>
      <c r="B13" s="95"/>
      <c r="C13" s="110"/>
      <c r="D13" s="156"/>
      <c r="E13" s="36">
        <v>533180</v>
      </c>
      <c r="F13" s="156" t="s">
        <v>126</v>
      </c>
      <c r="G13" s="163" t="s">
        <v>107</v>
      </c>
      <c r="H13" s="12"/>
    </row>
    <row r="14" spans="1:12" x14ac:dyDescent="0.3">
      <c r="A14" s="120"/>
      <c r="C14" s="110"/>
      <c r="D14" s="156"/>
      <c r="E14" s="36">
        <v>533181</v>
      </c>
      <c r="F14" s="156"/>
      <c r="G14" s="164"/>
      <c r="H14" s="12"/>
    </row>
    <row r="15" spans="1:12" x14ac:dyDescent="0.3">
      <c r="A15" s="120"/>
      <c r="B15" s="46"/>
      <c r="C15" s="110"/>
      <c r="D15" s="156"/>
      <c r="E15" s="36">
        <v>533182</v>
      </c>
      <c r="F15" s="156"/>
      <c r="G15" s="164"/>
      <c r="H15" s="12"/>
    </row>
    <row r="16" spans="1:12" x14ac:dyDescent="0.3">
      <c r="A16" s="120"/>
      <c r="B16" s="46"/>
      <c r="C16" s="110"/>
      <c r="D16" s="156"/>
      <c r="E16" s="36">
        <v>533183</v>
      </c>
      <c r="F16" s="156"/>
      <c r="G16" s="164"/>
      <c r="H16" s="12"/>
    </row>
    <row r="17" spans="1:8" x14ac:dyDescent="0.3">
      <c r="A17" s="120"/>
      <c r="B17" s="46">
        <v>16501</v>
      </c>
      <c r="C17" s="111"/>
      <c r="D17" s="157"/>
      <c r="E17" s="36">
        <v>533184</v>
      </c>
      <c r="F17" s="157"/>
      <c r="G17" s="164"/>
      <c r="H17" s="12"/>
    </row>
    <row r="22" spans="1:8" x14ac:dyDescent="0.3">
      <c r="A22" t="s">
        <v>260</v>
      </c>
      <c r="B22" t="s">
        <v>262</v>
      </c>
      <c r="C22" t="s">
        <v>256</v>
      </c>
      <c r="D22" t="s">
        <v>257</v>
      </c>
      <c r="E22" t="s">
        <v>258</v>
      </c>
    </row>
    <row r="23" spans="1:8" x14ac:dyDescent="0.3">
      <c r="B23" t="s">
        <v>214</v>
      </c>
      <c r="C23" t="s">
        <v>215</v>
      </c>
      <c r="D23" t="s">
        <v>216</v>
      </c>
      <c r="E23" t="s">
        <v>259</v>
      </c>
    </row>
    <row r="24" spans="1:8" x14ac:dyDescent="0.3">
      <c r="B24" t="s">
        <v>214</v>
      </c>
      <c r="C24" t="s">
        <v>215</v>
      </c>
      <c r="D24" t="s">
        <v>216</v>
      </c>
      <c r="E24" t="s">
        <v>259</v>
      </c>
    </row>
    <row r="25" spans="1:8" x14ac:dyDescent="0.3">
      <c r="B25" t="s">
        <v>214</v>
      </c>
      <c r="C25" t="s">
        <v>215</v>
      </c>
      <c r="D25" t="s">
        <v>216</v>
      </c>
      <c r="E25" t="s">
        <v>259</v>
      </c>
    </row>
    <row r="26" spans="1:8" x14ac:dyDescent="0.3">
      <c r="B26" t="s">
        <v>214</v>
      </c>
      <c r="C26" t="s">
        <v>215</v>
      </c>
      <c r="D26" t="s">
        <v>216</v>
      </c>
      <c r="E26" t="s">
        <v>259</v>
      </c>
    </row>
    <row r="27" spans="1:8" x14ac:dyDescent="0.3">
      <c r="B27" t="s">
        <v>214</v>
      </c>
      <c r="C27" t="s">
        <v>215</v>
      </c>
      <c r="D27" t="s">
        <v>216</v>
      </c>
      <c r="E27" t="s">
        <v>259</v>
      </c>
    </row>
    <row r="28" spans="1:8" x14ac:dyDescent="0.3">
      <c r="B28" t="s">
        <v>214</v>
      </c>
      <c r="C28" t="s">
        <v>215</v>
      </c>
      <c r="D28" t="s">
        <v>216</v>
      </c>
      <c r="E28" t="s">
        <v>259</v>
      </c>
    </row>
    <row r="29" spans="1:8" x14ac:dyDescent="0.3">
      <c r="B29" t="s">
        <v>214</v>
      </c>
      <c r="C29" t="s">
        <v>215</v>
      </c>
      <c r="D29" t="s">
        <v>216</v>
      </c>
      <c r="E29" t="s">
        <v>259</v>
      </c>
    </row>
    <row r="30" spans="1:8" x14ac:dyDescent="0.3">
      <c r="B30" t="s">
        <v>214</v>
      </c>
      <c r="C30" t="s">
        <v>215</v>
      </c>
      <c r="D30" t="s">
        <v>216</v>
      </c>
      <c r="E30" t="s">
        <v>259</v>
      </c>
    </row>
    <row r="31" spans="1:8" x14ac:dyDescent="0.3">
      <c r="B31" t="s">
        <v>214</v>
      </c>
      <c r="C31" t="s">
        <v>215</v>
      </c>
      <c r="D31" t="s">
        <v>216</v>
      </c>
      <c r="E31" t="s">
        <v>259</v>
      </c>
    </row>
    <row r="32" spans="1:8" x14ac:dyDescent="0.3">
      <c r="B32" t="s">
        <v>214</v>
      </c>
      <c r="C32" t="s">
        <v>215</v>
      </c>
      <c r="D32" t="s">
        <v>216</v>
      </c>
      <c r="E32" t="s">
        <v>259</v>
      </c>
    </row>
    <row r="33" spans="2:5" x14ac:dyDescent="0.3">
      <c r="B33" t="s">
        <v>214</v>
      </c>
      <c r="C33" t="s">
        <v>215</v>
      </c>
      <c r="D33" t="s">
        <v>216</v>
      </c>
      <c r="E33" t="s">
        <v>259</v>
      </c>
    </row>
    <row r="36" spans="2:5" x14ac:dyDescent="0.3">
      <c r="B36" s="80" t="s">
        <v>261</v>
      </c>
    </row>
    <row r="37" spans="2:5" x14ac:dyDescent="0.3">
      <c r="B37" s="80">
        <v>53</v>
      </c>
    </row>
    <row r="38" spans="2:5" x14ac:dyDescent="0.3">
      <c r="B38" s="80">
        <v>160</v>
      </c>
    </row>
    <row r="39" spans="2:5" x14ac:dyDescent="0.3">
      <c r="B39" s="80">
        <v>118</v>
      </c>
    </row>
    <row r="40" spans="2:5" x14ac:dyDescent="0.3">
      <c r="B40" s="80">
        <v>116</v>
      </c>
    </row>
    <row r="41" spans="2:5" x14ac:dyDescent="0.3">
      <c r="B41" s="80">
        <v>187</v>
      </c>
    </row>
    <row r="42" spans="2:5" x14ac:dyDescent="0.3">
      <c r="B42" s="80">
        <v>20</v>
      </c>
    </row>
    <row r="43" spans="2:5" x14ac:dyDescent="0.3">
      <c r="B43" s="80">
        <v>93</v>
      </c>
    </row>
    <row r="44" spans="2:5" x14ac:dyDescent="0.3">
      <c r="B44" s="80">
        <v>63</v>
      </c>
    </row>
    <row r="45" spans="2:5" x14ac:dyDescent="0.3">
      <c r="B45" s="80">
        <v>50</v>
      </c>
    </row>
  </sheetData>
  <mergeCells count="20">
    <mergeCell ref="F13:F17"/>
    <mergeCell ref="G9:G10"/>
    <mergeCell ref="H9:H10"/>
    <mergeCell ref="G13:G17"/>
    <mergeCell ref="A9:A17"/>
    <mergeCell ref="B9:C10"/>
    <mergeCell ref="D9:D10"/>
    <mergeCell ref="E9:E10"/>
    <mergeCell ref="F9:F10"/>
    <mergeCell ref="D11:D17"/>
    <mergeCell ref="F11:F12"/>
    <mergeCell ref="L2:L6"/>
    <mergeCell ref="H2:K2"/>
    <mergeCell ref="J5:K6"/>
    <mergeCell ref="A2:A4"/>
    <mergeCell ref="H3:H4"/>
    <mergeCell ref="H5:H6"/>
    <mergeCell ref="I5:I6"/>
    <mergeCell ref="E6:F6"/>
    <mergeCell ref="I3:K4"/>
  </mergeCells>
  <phoneticPr fontId="3" type="noConversion"/>
  <pageMargins left="0.7" right="0.7" top="0.75" bottom="0.75" header="0.3" footer="0.3"/>
  <pageSetup paperSize="136" orientation="portrait" horizontalDpi="1200" verticalDpi="12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C949-7C4B-4ECC-A1A6-1E46430B3203}">
  <sheetPr codeName="Sheet5"/>
  <dimension ref="A1:AF31"/>
  <sheetViews>
    <sheetView workbookViewId="0">
      <selection activeCell="B19" sqref="B19"/>
    </sheetView>
  </sheetViews>
  <sheetFormatPr defaultRowHeight="14" x14ac:dyDescent="0.3"/>
  <cols>
    <col min="2" max="2" width="34.58203125" customWidth="1"/>
    <col min="3" max="3" width="16.4140625" customWidth="1"/>
    <col min="4" max="4" width="21.9140625" customWidth="1"/>
    <col min="5" max="5" width="11.9140625" customWidth="1"/>
    <col min="6" max="6" width="20.75" customWidth="1"/>
  </cols>
  <sheetData>
    <row r="1" spans="1:29" ht="14.5" thickBot="1" x14ac:dyDescent="0.35">
      <c r="A1" s="1" t="s">
        <v>247</v>
      </c>
    </row>
    <row r="2" spans="1:29" ht="15.65" customHeight="1" x14ac:dyDescent="0.3">
      <c r="A2" s="120" t="s">
        <v>0</v>
      </c>
      <c r="B2" s="213" t="s">
        <v>242</v>
      </c>
      <c r="C2" s="177" t="s">
        <v>165</v>
      </c>
      <c r="D2" s="207" t="s">
        <v>166</v>
      </c>
      <c r="E2" s="207" t="s">
        <v>167</v>
      </c>
      <c r="F2" s="212" t="s">
        <v>168</v>
      </c>
      <c r="G2" s="175"/>
      <c r="H2" s="207" t="s">
        <v>169</v>
      </c>
      <c r="I2" s="209" t="s">
        <v>230</v>
      </c>
      <c r="J2" s="210"/>
      <c r="K2" s="210"/>
      <c r="L2" s="210"/>
      <c r="M2" s="211"/>
      <c r="N2" s="100"/>
      <c r="O2" s="207" t="s">
        <v>170</v>
      </c>
      <c r="P2" s="207" t="s">
        <v>171</v>
      </c>
      <c r="Q2" s="207" t="s">
        <v>172</v>
      </c>
      <c r="R2" s="207" t="s">
        <v>173</v>
      </c>
      <c r="S2" s="207" t="s">
        <v>174</v>
      </c>
      <c r="T2" s="184" t="s">
        <v>175</v>
      </c>
      <c r="U2" s="185"/>
    </row>
    <row r="3" spans="1:29" ht="15" x14ac:dyDescent="0.3">
      <c r="A3" s="120"/>
      <c r="B3" s="213"/>
      <c r="C3" s="178"/>
      <c r="D3" s="208"/>
      <c r="E3" s="208"/>
      <c r="F3" s="98"/>
      <c r="G3" s="98" t="s">
        <v>177</v>
      </c>
      <c r="H3" s="208"/>
      <c r="I3" s="97">
        <v>19</v>
      </c>
      <c r="J3" s="97">
        <v>20</v>
      </c>
      <c r="K3" s="97">
        <v>21</v>
      </c>
      <c r="L3" s="97">
        <v>22</v>
      </c>
      <c r="M3" s="97">
        <v>23</v>
      </c>
      <c r="N3" s="97"/>
      <c r="O3" s="208"/>
      <c r="P3" s="208"/>
      <c r="Q3" s="208"/>
      <c r="R3" s="208"/>
      <c r="S3" s="208"/>
      <c r="T3" s="186"/>
      <c r="U3" s="187"/>
    </row>
    <row r="4" spans="1:29" x14ac:dyDescent="0.3">
      <c r="A4" s="120"/>
    </row>
    <row r="5" spans="1:29" x14ac:dyDescent="0.3">
      <c r="A5" s="77"/>
    </row>
    <row r="6" spans="1:29" x14ac:dyDescent="0.3">
      <c r="A6" s="77"/>
    </row>
    <row r="12" spans="1:29" x14ac:dyDescent="0.3">
      <c r="A12" s="1" t="s">
        <v>248</v>
      </c>
    </row>
    <row r="14" spans="1:29" x14ac:dyDescent="0.3">
      <c r="A14" s="120" t="s">
        <v>0</v>
      </c>
      <c r="B14" s="107" t="s">
        <v>241</v>
      </c>
      <c r="C14" s="127" t="s">
        <v>80</v>
      </c>
      <c r="D14" s="125" t="s">
        <v>81</v>
      </c>
      <c r="E14" s="127" t="s">
        <v>82</v>
      </c>
      <c r="F14" s="127" t="s">
        <v>83</v>
      </c>
      <c r="G14" s="150" t="s">
        <v>84</v>
      </c>
      <c r="H14" s="127" t="s">
        <v>85</v>
      </c>
      <c r="I14" s="150" t="s">
        <v>86</v>
      </c>
      <c r="J14" s="127" t="s">
        <v>87</v>
      </c>
      <c r="K14" s="127" t="s">
        <v>88</v>
      </c>
      <c r="L14" s="56"/>
      <c r="M14" s="57"/>
      <c r="N14" s="57"/>
      <c r="O14" s="57"/>
      <c r="P14" s="57"/>
      <c r="Q14" s="57"/>
      <c r="R14" s="57"/>
      <c r="S14" s="58"/>
      <c r="T14" s="127" t="s">
        <v>89</v>
      </c>
      <c r="U14" s="127" t="s">
        <v>90</v>
      </c>
      <c r="V14" s="140" t="s">
        <v>111</v>
      </c>
      <c r="W14" s="165" t="s">
        <v>91</v>
      </c>
      <c r="X14" s="142" t="s">
        <v>92</v>
      </c>
      <c r="Y14" s="144" t="s">
        <v>93</v>
      </c>
      <c r="Z14" s="167" t="s">
        <v>94</v>
      </c>
      <c r="AA14" s="148" t="s">
        <v>95</v>
      </c>
      <c r="AB14" s="148" t="s">
        <v>96</v>
      </c>
      <c r="AC14" s="146" t="s">
        <v>112</v>
      </c>
    </row>
    <row r="15" spans="1:29" x14ac:dyDescent="0.3">
      <c r="A15" s="120"/>
      <c r="B15" s="108"/>
      <c r="C15" s="128"/>
      <c r="D15" s="126"/>
      <c r="E15" s="128"/>
      <c r="F15" s="128"/>
      <c r="G15" s="151"/>
      <c r="H15" s="128"/>
      <c r="I15" s="151"/>
      <c r="J15" s="128"/>
      <c r="K15" s="128"/>
      <c r="L15" s="3">
        <v>28</v>
      </c>
      <c r="M15" s="3">
        <v>29</v>
      </c>
      <c r="N15" s="3">
        <v>30</v>
      </c>
      <c r="O15" s="3">
        <v>31</v>
      </c>
      <c r="P15" s="3">
        <v>32</v>
      </c>
      <c r="Q15" s="3">
        <v>33</v>
      </c>
      <c r="R15" s="3">
        <v>34</v>
      </c>
      <c r="S15" s="3">
        <v>35</v>
      </c>
      <c r="T15" s="128"/>
      <c r="U15" s="128"/>
      <c r="V15" s="141"/>
      <c r="W15" s="166"/>
      <c r="X15" s="143"/>
      <c r="Y15" s="145"/>
      <c r="Z15" s="168"/>
      <c r="AA15" s="149"/>
      <c r="AB15" s="149"/>
      <c r="AC15" s="147"/>
    </row>
    <row r="16" spans="1:29" ht="28" x14ac:dyDescent="0.3">
      <c r="A16" s="120"/>
      <c r="C16" s="152">
        <v>91338035</v>
      </c>
      <c r="D16" s="36">
        <v>532325</v>
      </c>
      <c r="E16" s="152" t="s">
        <v>97</v>
      </c>
      <c r="F16" s="155" t="s">
        <v>98</v>
      </c>
      <c r="G16" s="152" t="s">
        <v>98</v>
      </c>
      <c r="H16" s="152"/>
      <c r="I16" s="155" t="s">
        <v>99</v>
      </c>
      <c r="J16" s="155" t="s">
        <v>100</v>
      </c>
      <c r="K16" s="155" t="s">
        <v>125</v>
      </c>
      <c r="L16" s="102">
        <v>1</v>
      </c>
      <c r="M16" s="5">
        <v>1</v>
      </c>
      <c r="N16" s="5">
        <v>2</v>
      </c>
      <c r="O16" s="5">
        <v>2</v>
      </c>
      <c r="P16" s="5">
        <v>2</v>
      </c>
      <c r="Q16" s="5">
        <v>2</v>
      </c>
      <c r="R16" s="5">
        <v>1</v>
      </c>
      <c r="S16" s="5">
        <v>1</v>
      </c>
      <c r="T16" s="8">
        <v>12</v>
      </c>
      <c r="U16" s="9">
        <v>170</v>
      </c>
      <c r="V16" s="36">
        <f>T16*U16</f>
        <v>2040</v>
      </c>
      <c r="W16" s="10" t="s">
        <v>101</v>
      </c>
      <c r="X16" s="158" t="s">
        <v>102</v>
      </c>
      <c r="Y16" s="11" t="s">
        <v>103</v>
      </c>
      <c r="Z16" s="160">
        <v>43171</v>
      </c>
      <c r="AA16" s="12"/>
      <c r="AB16" s="12"/>
      <c r="AC16" s="13">
        <f>0.415*0.39*0.265*U16</f>
        <v>7.2913424999999998</v>
      </c>
    </row>
    <row r="17" spans="1:32" ht="28" x14ac:dyDescent="0.3">
      <c r="A17" s="120"/>
      <c r="B17" s="47"/>
      <c r="C17" s="153"/>
      <c r="D17" s="48">
        <v>532326</v>
      </c>
      <c r="E17" s="153"/>
      <c r="F17" s="156"/>
      <c r="G17" s="153"/>
      <c r="H17" s="153"/>
      <c r="I17" s="156"/>
      <c r="J17" s="156"/>
      <c r="K17" s="156"/>
      <c r="L17" s="49">
        <v>1</v>
      </c>
      <c r="M17" s="50">
        <v>1</v>
      </c>
      <c r="N17" s="50">
        <v>1</v>
      </c>
      <c r="O17" s="50">
        <v>2</v>
      </c>
      <c r="P17" s="50">
        <v>2</v>
      </c>
      <c r="Q17" s="50">
        <v>1</v>
      </c>
      <c r="R17" s="50">
        <v>1</v>
      </c>
      <c r="S17" s="50">
        <v>1</v>
      </c>
      <c r="T17" s="50">
        <v>10</v>
      </c>
      <c r="U17" s="51">
        <v>98</v>
      </c>
      <c r="V17" s="48">
        <f t="shared" ref="V17:V22" si="0">T17*U17</f>
        <v>980</v>
      </c>
      <c r="W17" s="52" t="s">
        <v>104</v>
      </c>
      <c r="X17" s="159"/>
      <c r="Y17" s="53" t="s">
        <v>105</v>
      </c>
      <c r="Z17" s="161"/>
      <c r="AA17" s="54"/>
      <c r="AB17" s="54"/>
      <c r="AC17" s="55">
        <f>0.515*0.265*0.265*U17</f>
        <v>3.5442557500000005</v>
      </c>
    </row>
    <row r="18" spans="1:32" ht="15" x14ac:dyDescent="0.3">
      <c r="A18" s="120"/>
      <c r="B18" s="46"/>
      <c r="C18" s="153"/>
      <c r="D18" s="36">
        <v>533180</v>
      </c>
      <c r="E18" s="153"/>
      <c r="F18" s="156"/>
      <c r="G18" s="153"/>
      <c r="H18" s="153"/>
      <c r="I18" s="156"/>
      <c r="J18" s="156"/>
      <c r="K18" s="156" t="s">
        <v>126</v>
      </c>
      <c r="L18" s="102"/>
      <c r="M18" s="5"/>
      <c r="N18" s="102">
        <v>1</v>
      </c>
      <c r="O18" s="5"/>
      <c r="P18" s="102"/>
      <c r="Q18" s="5"/>
      <c r="R18" s="102"/>
      <c r="S18" s="5"/>
      <c r="T18" s="8">
        <v>16</v>
      </c>
      <c r="U18" s="9">
        <v>6</v>
      </c>
      <c r="V18" s="36">
        <f t="shared" si="0"/>
        <v>96</v>
      </c>
      <c r="W18" s="14" t="s">
        <v>106</v>
      </c>
      <c r="X18" s="159"/>
      <c r="Y18" s="163" t="s">
        <v>107</v>
      </c>
      <c r="Z18" s="161"/>
      <c r="AA18" s="12"/>
      <c r="AB18" s="12"/>
      <c r="AC18" s="13">
        <f>0.515*0.415*0.265*U18</f>
        <v>0.33982275000000001</v>
      </c>
    </row>
    <row r="19" spans="1:32" ht="15" x14ac:dyDescent="0.3">
      <c r="A19" s="120"/>
      <c r="B19" s="46">
        <v>16501</v>
      </c>
      <c r="C19" s="153"/>
      <c r="D19" s="36">
        <v>533181</v>
      </c>
      <c r="E19" s="153"/>
      <c r="F19" s="156"/>
      <c r="G19" s="153"/>
      <c r="H19" s="153"/>
      <c r="I19" s="156"/>
      <c r="J19" s="156"/>
      <c r="K19" s="156"/>
      <c r="L19" s="102"/>
      <c r="M19" s="5"/>
      <c r="N19" s="102"/>
      <c r="O19" s="5">
        <v>1</v>
      </c>
      <c r="P19" s="102"/>
      <c r="Q19" s="5"/>
      <c r="R19" s="102"/>
      <c r="S19" s="5"/>
      <c r="T19" s="8">
        <v>16</v>
      </c>
      <c r="U19" s="9">
        <v>6</v>
      </c>
      <c r="V19" s="36">
        <f t="shared" si="0"/>
        <v>96</v>
      </c>
      <c r="W19" s="14" t="s">
        <v>106</v>
      </c>
      <c r="X19" s="159"/>
      <c r="Y19" s="164"/>
      <c r="Z19" s="161"/>
      <c r="AA19" s="12"/>
      <c r="AB19" s="12"/>
      <c r="AC19" s="13">
        <f>0.515*0.415*0.265*U19</f>
        <v>0.33982275000000001</v>
      </c>
    </row>
    <row r="20" spans="1:32" ht="15" x14ac:dyDescent="0.3">
      <c r="A20" s="120"/>
      <c r="B20" s="46"/>
      <c r="C20" s="153"/>
      <c r="D20" s="36">
        <v>533182</v>
      </c>
      <c r="E20" s="153"/>
      <c r="F20" s="156"/>
      <c r="G20" s="153"/>
      <c r="H20" s="153"/>
      <c r="I20" s="156"/>
      <c r="J20" s="156"/>
      <c r="K20" s="156"/>
      <c r="L20" s="102"/>
      <c r="M20" s="5"/>
      <c r="N20" s="5"/>
      <c r="O20" s="5"/>
      <c r="P20" s="5">
        <v>1</v>
      </c>
      <c r="Q20" s="5"/>
      <c r="R20" s="6"/>
      <c r="S20" s="6"/>
      <c r="T20" s="8">
        <v>16</v>
      </c>
      <c r="U20" s="9">
        <v>6</v>
      </c>
      <c r="V20" s="36">
        <f t="shared" si="0"/>
        <v>96</v>
      </c>
      <c r="W20" s="14" t="s">
        <v>106</v>
      </c>
      <c r="X20" s="159"/>
      <c r="Y20" s="164"/>
      <c r="Z20" s="161"/>
      <c r="AA20" s="12"/>
      <c r="AB20" s="12"/>
      <c r="AC20" s="13">
        <f>0.515*0.415*0.265*U20</f>
        <v>0.33982275000000001</v>
      </c>
    </row>
    <row r="21" spans="1:32" ht="15" x14ac:dyDescent="0.3">
      <c r="A21" s="120"/>
      <c r="B21" s="46"/>
      <c r="C21" s="153"/>
      <c r="D21" s="36">
        <v>533183</v>
      </c>
      <c r="E21" s="153"/>
      <c r="F21" s="156"/>
      <c r="G21" s="153"/>
      <c r="H21" s="153"/>
      <c r="I21" s="156"/>
      <c r="J21" s="156"/>
      <c r="K21" s="156"/>
      <c r="L21" s="102"/>
      <c r="M21" s="5"/>
      <c r="N21" s="5"/>
      <c r="O21" s="5"/>
      <c r="P21" s="5"/>
      <c r="Q21" s="5">
        <v>1</v>
      </c>
      <c r="R21" s="6"/>
      <c r="S21" s="6"/>
      <c r="T21" s="8">
        <v>16</v>
      </c>
      <c r="U21" s="9">
        <v>6</v>
      </c>
      <c r="V21" s="36">
        <f t="shared" si="0"/>
        <v>96</v>
      </c>
      <c r="W21" s="14" t="s">
        <v>106</v>
      </c>
      <c r="X21" s="159"/>
      <c r="Y21" s="164"/>
      <c r="Z21" s="161"/>
      <c r="AA21" s="12"/>
      <c r="AB21" s="12"/>
      <c r="AC21" s="13">
        <f>0.515*0.415*0.265*U21</f>
        <v>0.33982275000000001</v>
      </c>
    </row>
    <row r="22" spans="1:32" ht="15" x14ac:dyDescent="0.3">
      <c r="A22" s="120"/>
      <c r="B22" s="46"/>
      <c r="C22" s="154"/>
      <c r="D22" s="36">
        <v>533184</v>
      </c>
      <c r="E22" s="154"/>
      <c r="F22" s="157"/>
      <c r="G22" s="154"/>
      <c r="H22" s="154"/>
      <c r="I22" s="157"/>
      <c r="J22" s="157"/>
      <c r="K22" s="157"/>
      <c r="L22" s="102"/>
      <c r="M22" s="5"/>
      <c r="N22" s="5"/>
      <c r="O22" s="5"/>
      <c r="P22" s="5"/>
      <c r="Q22" s="5"/>
      <c r="R22" s="6">
        <v>1</v>
      </c>
      <c r="S22" s="6"/>
      <c r="T22" s="8">
        <v>16</v>
      </c>
      <c r="U22" s="9">
        <v>6</v>
      </c>
      <c r="V22" s="36">
        <f t="shared" si="0"/>
        <v>96</v>
      </c>
      <c r="W22" s="14" t="s">
        <v>106</v>
      </c>
      <c r="X22" s="159"/>
      <c r="Y22" s="164"/>
      <c r="Z22" s="162"/>
      <c r="AA22" s="12"/>
      <c r="AB22" s="12"/>
      <c r="AC22" s="13">
        <f>0.515*0.415*0.265*U22</f>
        <v>0.33982275000000001</v>
      </c>
    </row>
    <row r="23" spans="1:32" x14ac:dyDescent="0.3">
      <c r="A23" s="120"/>
      <c r="W23" s="14"/>
      <c r="X23" s="16"/>
      <c r="Y23" s="37"/>
      <c r="Z23" s="12"/>
      <c r="AA23" s="18">
        <f>SUM(AA16:AA22)</f>
        <v>0</v>
      </c>
      <c r="AB23" s="18">
        <f>SUM(AB16:AB22)</f>
        <v>0</v>
      </c>
      <c r="AC23" s="19">
        <f>SUM(AC16:AC22)</f>
        <v>12.534711999999999</v>
      </c>
    </row>
    <row r="24" spans="1:32" ht="15.5" x14ac:dyDescent="0.3">
      <c r="A24" s="120"/>
      <c r="B24" s="137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15"/>
      <c r="V24" s="15">
        <f>SUM(V16:V22)</f>
        <v>3500</v>
      </c>
      <c r="W24" s="26"/>
      <c r="X24" s="27"/>
      <c r="Y24" s="27"/>
      <c r="Z24" s="28"/>
      <c r="AA24" s="29"/>
      <c r="AB24" s="29"/>
      <c r="AC24" s="30" t="s">
        <v>109</v>
      </c>
    </row>
    <row r="27" spans="1:32" x14ac:dyDescent="0.3">
      <c r="I27" s="117"/>
      <c r="J27" s="117"/>
      <c r="K27" s="117"/>
      <c r="L27" s="117"/>
    </row>
    <row r="29" spans="1:32" x14ac:dyDescent="0.3">
      <c r="L29" s="117"/>
      <c r="M29" s="117"/>
      <c r="N29" s="117"/>
      <c r="O29" s="117"/>
    </row>
    <row r="30" spans="1:32" x14ac:dyDescent="0.3">
      <c r="L30" s="117"/>
      <c r="M30" s="117"/>
      <c r="N30" s="117"/>
      <c r="O30" s="117"/>
    </row>
    <row r="31" spans="1:32" x14ac:dyDescent="0.3">
      <c r="AF31" t="s">
        <v>249</v>
      </c>
    </row>
  </sheetData>
  <mergeCells count="53">
    <mergeCell ref="F2:G2"/>
    <mergeCell ref="A2:A4"/>
    <mergeCell ref="B2:B3"/>
    <mergeCell ref="C2:C3"/>
    <mergeCell ref="D2:D3"/>
    <mergeCell ref="E2:E3"/>
    <mergeCell ref="V14:V15"/>
    <mergeCell ref="S2:S3"/>
    <mergeCell ref="T2:U3"/>
    <mergeCell ref="A14:A24"/>
    <mergeCell ref="C14:C15"/>
    <mergeCell ref="D14:D15"/>
    <mergeCell ref="E14:E15"/>
    <mergeCell ref="F14:F15"/>
    <mergeCell ref="G14:G15"/>
    <mergeCell ref="H14:H15"/>
    <mergeCell ref="H2:H3"/>
    <mergeCell ref="I2:M2"/>
    <mergeCell ref="O2:O3"/>
    <mergeCell ref="P2:P3"/>
    <mergeCell ref="Q2:Q3"/>
    <mergeCell ref="R2:R3"/>
    <mergeCell ref="I14:I15"/>
    <mergeCell ref="J14:J15"/>
    <mergeCell ref="K14:K15"/>
    <mergeCell ref="T14:T15"/>
    <mergeCell ref="U14:U15"/>
    <mergeCell ref="AC14:AC15"/>
    <mergeCell ref="C16:C22"/>
    <mergeCell ref="E16:E22"/>
    <mergeCell ref="F16:F22"/>
    <mergeCell ref="G16:G22"/>
    <mergeCell ref="H16:H22"/>
    <mergeCell ref="I16:I22"/>
    <mergeCell ref="J16:J22"/>
    <mergeCell ref="K16:K17"/>
    <mergeCell ref="X16:X22"/>
    <mergeCell ref="W14:W15"/>
    <mergeCell ref="X14:X15"/>
    <mergeCell ref="Y14:Y15"/>
    <mergeCell ref="Z14:Z15"/>
    <mergeCell ref="AA14:AA15"/>
    <mergeCell ref="AB14:AB15"/>
    <mergeCell ref="K18:K22"/>
    <mergeCell ref="Y18:Y22"/>
    <mergeCell ref="B24:T24"/>
    <mergeCell ref="I27:J27"/>
    <mergeCell ref="K27:L27"/>
    <mergeCell ref="L29:M29"/>
    <mergeCell ref="N29:O29"/>
    <mergeCell ref="L30:M30"/>
    <mergeCell ref="N30:O30"/>
    <mergeCell ref="Z16:Z22"/>
  </mergeCells>
  <phoneticPr fontId="3" type="noConversion"/>
  <pageMargins left="0.7" right="0.7" top="0.75" bottom="0.75" header="0.3" footer="0.3"/>
  <pageSetup paperSize="136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10CC-5D7B-4775-B3C9-33C53A94DCE9}">
  <sheetPr codeName="Sheet6"/>
  <dimension ref="A1:E30"/>
  <sheetViews>
    <sheetView topLeftCell="A19" workbookViewId="0">
      <selection activeCell="C29" sqref="B29:C30"/>
    </sheetView>
  </sheetViews>
  <sheetFormatPr defaultRowHeight="14" x14ac:dyDescent="0.3"/>
  <cols>
    <col min="1" max="1" width="39.4140625" customWidth="1"/>
  </cols>
  <sheetData>
    <row r="1" spans="1:5" x14ac:dyDescent="0.3">
      <c r="A1" s="1" t="s">
        <v>212</v>
      </c>
      <c r="B1" t="s">
        <v>189</v>
      </c>
      <c r="C1" t="s">
        <v>187</v>
      </c>
      <c r="D1" t="s">
        <v>190</v>
      </c>
    </row>
    <row r="2" spans="1:5" x14ac:dyDescent="0.3">
      <c r="A2" s="120" t="s">
        <v>0</v>
      </c>
      <c r="B2" t="s">
        <v>188</v>
      </c>
      <c r="C2" s="83" t="s">
        <v>159</v>
      </c>
      <c r="D2" s="82" t="s">
        <v>160</v>
      </c>
      <c r="E2" s="82" t="s">
        <v>214</v>
      </c>
    </row>
    <row r="3" spans="1:5" x14ac:dyDescent="0.3">
      <c r="A3" s="120"/>
      <c r="B3" t="s">
        <v>188</v>
      </c>
      <c r="C3" s="82" t="s">
        <v>161</v>
      </c>
      <c r="D3" s="82" t="s">
        <v>160</v>
      </c>
      <c r="E3" s="82" t="s">
        <v>215</v>
      </c>
    </row>
    <row r="4" spans="1:5" x14ac:dyDescent="0.3">
      <c r="A4" s="120"/>
      <c r="B4" t="s">
        <v>188</v>
      </c>
      <c r="C4" s="82" t="s">
        <v>162</v>
      </c>
      <c r="D4" s="82" t="s">
        <v>163</v>
      </c>
      <c r="E4" s="82" t="s">
        <v>216</v>
      </c>
    </row>
    <row r="9" spans="1:5" x14ac:dyDescent="0.3">
      <c r="A9" s="1" t="s">
        <v>213</v>
      </c>
      <c r="B9" t="s">
        <v>189</v>
      </c>
      <c r="C9" t="s">
        <v>187</v>
      </c>
      <c r="D9" t="s">
        <v>190</v>
      </c>
    </row>
    <row r="10" spans="1:5" x14ac:dyDescent="0.3">
      <c r="A10" s="120" t="s">
        <v>0</v>
      </c>
      <c r="B10" t="s">
        <v>188</v>
      </c>
      <c r="C10" s="83" t="s">
        <v>159</v>
      </c>
      <c r="D10" s="82" t="s">
        <v>160</v>
      </c>
      <c r="E10" s="84" t="s">
        <v>214</v>
      </c>
    </row>
    <row r="11" spans="1:5" x14ac:dyDescent="0.3">
      <c r="A11" s="120"/>
      <c r="B11" t="s">
        <v>188</v>
      </c>
      <c r="C11" s="82" t="s">
        <v>161</v>
      </c>
      <c r="D11" s="82" t="s">
        <v>160</v>
      </c>
      <c r="E11" s="84" t="s">
        <v>215</v>
      </c>
    </row>
    <row r="12" spans="1:5" x14ac:dyDescent="0.3">
      <c r="A12" s="120"/>
      <c r="B12" t="s">
        <v>188</v>
      </c>
      <c r="C12" s="82" t="s">
        <v>162</v>
      </c>
      <c r="D12" s="83" t="s">
        <v>163</v>
      </c>
      <c r="E12" s="84" t="s">
        <v>216</v>
      </c>
    </row>
    <row r="16" spans="1:5" x14ac:dyDescent="0.3">
      <c r="A16" s="1" t="s">
        <v>217</v>
      </c>
      <c r="B16" t="s">
        <v>189</v>
      </c>
      <c r="C16" t="s">
        <v>187</v>
      </c>
      <c r="D16" t="s">
        <v>190</v>
      </c>
    </row>
    <row r="17" spans="1:5" x14ac:dyDescent="0.3">
      <c r="A17" s="120" t="s">
        <v>0</v>
      </c>
      <c r="B17" t="s">
        <v>188</v>
      </c>
      <c r="C17" s="83" t="s">
        <v>159</v>
      </c>
      <c r="D17" s="82" t="s">
        <v>160</v>
      </c>
      <c r="E17" s="82" t="s">
        <v>214</v>
      </c>
    </row>
    <row r="18" spans="1:5" x14ac:dyDescent="0.3">
      <c r="A18" s="120"/>
      <c r="B18" t="s">
        <v>188</v>
      </c>
      <c r="C18" s="82" t="s">
        <v>161</v>
      </c>
      <c r="D18" s="82" t="s">
        <v>160</v>
      </c>
      <c r="E18" s="82" t="s">
        <v>215</v>
      </c>
    </row>
    <row r="19" spans="1:5" x14ac:dyDescent="0.3">
      <c r="A19" s="120"/>
      <c r="B19" t="s">
        <v>188</v>
      </c>
      <c r="C19" s="84" t="s">
        <v>162</v>
      </c>
      <c r="D19" s="85" t="s">
        <v>163</v>
      </c>
      <c r="E19" s="84" t="s">
        <v>216</v>
      </c>
    </row>
    <row r="22" spans="1:5" x14ac:dyDescent="0.3">
      <c r="A22" s="1" t="s">
        <v>218</v>
      </c>
      <c r="B22" t="s">
        <v>189</v>
      </c>
      <c r="C22" s="82" t="s">
        <v>187</v>
      </c>
      <c r="D22" s="82" t="s">
        <v>190</v>
      </c>
    </row>
    <row r="23" spans="1:5" x14ac:dyDescent="0.3">
      <c r="A23" s="120" t="s">
        <v>0</v>
      </c>
      <c r="B23" t="s">
        <v>188</v>
      </c>
      <c r="C23" s="82" t="s">
        <v>159</v>
      </c>
      <c r="D23" s="82" t="s">
        <v>160</v>
      </c>
      <c r="E23" t="s">
        <v>214</v>
      </c>
    </row>
    <row r="24" spans="1:5" x14ac:dyDescent="0.3">
      <c r="A24" s="120"/>
      <c r="B24" t="s">
        <v>188</v>
      </c>
      <c r="C24" s="86" t="s">
        <v>161</v>
      </c>
      <c r="D24" s="86" t="s">
        <v>160</v>
      </c>
      <c r="E24" t="s">
        <v>215</v>
      </c>
    </row>
    <row r="25" spans="1:5" x14ac:dyDescent="0.3">
      <c r="A25" s="120"/>
      <c r="B25" t="s">
        <v>188</v>
      </c>
      <c r="C25" s="84" t="s">
        <v>162</v>
      </c>
      <c r="D25" s="85" t="s">
        <v>163</v>
      </c>
      <c r="E25" s="84" t="s">
        <v>216</v>
      </c>
    </row>
    <row r="27" spans="1:5" x14ac:dyDescent="0.3">
      <c r="A27" s="1" t="s">
        <v>220</v>
      </c>
      <c r="B27" t="s">
        <v>189</v>
      </c>
      <c r="C27" t="s">
        <v>187</v>
      </c>
      <c r="D27" t="s">
        <v>190</v>
      </c>
    </row>
    <row r="28" spans="1:5" x14ac:dyDescent="0.3">
      <c r="A28" s="120" t="s">
        <v>0</v>
      </c>
      <c r="B28" t="s">
        <v>188</v>
      </c>
      <c r="C28" t="s">
        <v>159</v>
      </c>
      <c r="D28" t="s">
        <v>160</v>
      </c>
    </row>
    <row r="29" spans="1:5" x14ac:dyDescent="0.3">
      <c r="A29" s="120"/>
      <c r="B29" s="82" t="s">
        <v>188</v>
      </c>
      <c r="C29" s="88" t="s">
        <v>161</v>
      </c>
      <c r="D29" s="86" t="s">
        <v>160</v>
      </c>
    </row>
    <row r="30" spans="1:5" x14ac:dyDescent="0.3">
      <c r="A30" s="120"/>
      <c r="B30" s="82" t="s">
        <v>188</v>
      </c>
      <c r="C30" s="82" t="s">
        <v>162</v>
      </c>
      <c r="D30" s="89" t="s">
        <v>163</v>
      </c>
    </row>
  </sheetData>
  <mergeCells count="5">
    <mergeCell ref="A2:A4"/>
    <mergeCell ref="A10:A12"/>
    <mergeCell ref="A17:A19"/>
    <mergeCell ref="A23:A25"/>
    <mergeCell ref="A28:A3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Matrix</vt:lpstr>
      <vt:lpstr>Math</vt:lpstr>
      <vt:lpstr>Sematics_Back</vt:lpstr>
      <vt:lpstr>Sematics_Normal</vt:lpstr>
      <vt:lpstr>Sematics_RangeInHeaders</vt:lpstr>
      <vt:lpstr>ReRange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2025-01-21T00:40:13Z</dcterms:modified>
</cp:coreProperties>
</file>